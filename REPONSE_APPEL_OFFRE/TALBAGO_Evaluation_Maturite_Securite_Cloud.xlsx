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2.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ate1904="1" hidePivotFieldList="1"/>
  <mc:AlternateContent xmlns:mc="http://schemas.openxmlformats.org/markup-compatibility/2006">
    <mc:Choice Requires="x15">
      <x15ac:absPath xmlns:x15ac="http://schemas.microsoft.com/office/spreadsheetml/2010/11/ac" url="https://aixmarseilleuniversite-my.sharepoint.com/personal/rim_amsaf_etu_univ-amu_fr/Documents/Bureau/PFE/"/>
    </mc:Choice>
  </mc:AlternateContent>
  <xr:revisionPtr revIDLastSave="0" documentId="8_{2599576A-FB68-421D-A516-5475E8E9EAEF}" xr6:coauthVersionLast="47" xr6:coauthVersionMax="47" xr10:uidLastSave="{00000000-0000-0000-0000-000000000000}"/>
  <bookViews>
    <workbookView xWindow="-108" yWindow="-108" windowWidth="23256" windowHeight="12456" tabRatio="735" xr2:uid="{00000000-000D-0000-FFFF-FFFF00000000}"/>
  </bookViews>
  <sheets>
    <sheet name="Domaines" sheetId="3" r:id="rId1"/>
    <sheet name="Echelles" sheetId="17" r:id="rId2"/>
    <sheet name="Feuil1" sheetId="18" state="hidden" r:id="rId3"/>
    <sheet name="Gouvernance" sheetId="4" r:id="rId4"/>
    <sheet name="Gestion organisationnelle" sheetId="5" r:id="rId5"/>
    <sheet name="IAM" sheetId="6" r:id="rId6"/>
    <sheet name="Supervision de la sécurité" sheetId="7" r:id="rId7"/>
    <sheet name="Sécurité des charges de travail" sheetId="9" r:id="rId8"/>
    <sheet name="Sécurité réseau" sheetId="8" r:id="rId9"/>
    <sheet name="Sécurité des Données" sheetId="11" r:id="rId10"/>
    <sheet name="Analyse des risques" sheetId="12" r:id="rId11"/>
    <sheet name="Résilience" sheetId="13" r:id="rId12"/>
    <sheet name="Conformité" sheetId="14" r:id="rId13"/>
    <sheet name="Gestion des incidents " sheetId="15" r:id="rId14"/>
    <sheet name="Sécurité Applicative" sheetId="10" r:id="rId15"/>
    <sheet name="Dashboard_Sécurité réseau" sheetId="19" r:id="rId16"/>
    <sheet name="Dashboard_SCT" sheetId="25" r:id="rId17"/>
    <sheet name="Dashboard_Gouvernance" sheetId="20" r:id="rId18"/>
    <sheet name="Dashboard_Gestion organisationn" sheetId="22" r:id="rId19"/>
    <sheet name="Dashboard_IAM" sheetId="23" r:id="rId20"/>
    <sheet name="Dashboard_supervisionSec" sheetId="24" r:id="rId21"/>
    <sheet name="Dashboard_sécuritéDonnées" sheetId="26" r:id="rId22"/>
    <sheet name="Dashboard_AR" sheetId="28" r:id="rId23"/>
    <sheet name="Dashboard_Resilience" sheetId="29" r:id="rId24"/>
    <sheet name="Dashboard_conformité" sheetId="30" r:id="rId25"/>
    <sheet name="Dashboard_GIS" sheetId="31" r:id="rId26"/>
    <sheet name="Sheet1" sheetId="16" state="hidden" r:id="rId27"/>
    <sheet name="Dashboard_secuApp" sheetId="27" r:id="rId28"/>
    <sheet name="evaluation_globale" sheetId="32" r:id="rId29"/>
  </sheets>
  <calcPr calcId="191028"/>
  <customWorkbookViews>
    <customWorkbookView name="Microsoft Office User - Personal View" guid="{F7C1623B-D7CD-CD4F-BF5C-C85D3815E60B}" mergeInterval="0" personalView="1" xWindow="-3" yWindow="68" windowWidth="1470" windowHeight="825" activeSheetId="1"/>
    <customWorkbookView name="gglendening - Personal View" guid="{CB9281FB-53AC-4498-B6BF-6132B55113AF}" mergeInterval="0" personalView="1" maximized="1" xWindow="-9" yWindow="-9" windowWidth="1938" windowHeight="1048" activeSheetId="16" showComments="commIndAndComment"/>
    <customWorkbookView name="lchase - Personal View" guid="{2C165A54-03F4-4551-85C8-E4ED1E664B78}" mergeInterval="0" personalView="1" maximized="1" xWindow="-9" yWindow="-9" windowWidth="1938" windowHeight="1048" activeSheetId="10" showComments="commIndAndComment"/>
  </customWorkbookViews>
  <pivotCaches>
    <pivotCache cacheId="0" r:id="rId30"/>
    <pivotCache cacheId="1" r:id="rId31"/>
    <pivotCache cacheId="2" r:id="rId32"/>
    <pivotCache cacheId="3" r:id="rId33"/>
    <pivotCache cacheId="4" r:id="rId34"/>
    <pivotCache cacheId="5" r:id="rId35"/>
    <pivotCache cacheId="6" r:id="rId36"/>
    <pivotCache cacheId="7" r:id="rId37"/>
    <pivotCache cacheId="8" r:id="rId38"/>
    <pivotCache cacheId="9" r:id="rId39"/>
    <pivotCache cacheId="10" r:id="rId40"/>
    <pivotCache cacheId="11" r:id="rId41"/>
    <pivotCache cacheId="12" r:id="rId42"/>
    <pivotCache cacheId="13" r:id="rId4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2" l="1"/>
  <c r="B11" i="32"/>
  <c r="B1" i="32"/>
  <c r="B2" i="32"/>
  <c r="B3" i="32"/>
  <c r="B4" i="32"/>
  <c r="B5" i="32"/>
  <c r="B6" i="32"/>
  <c r="B7" i="32"/>
  <c r="B8" i="32"/>
  <c r="B9" i="32"/>
  <c r="B10" i="32"/>
  <c r="J20" i="31"/>
  <c r="I20" i="30"/>
  <c r="I21" i="29"/>
  <c r="I22" i="28"/>
  <c r="J21" i="27"/>
  <c r="I21" i="26"/>
  <c r="J22" i="25"/>
  <c r="J24" i="19"/>
  <c r="I23" i="24"/>
  <c r="I21" i="23"/>
  <c r="I22" i="22"/>
  <c r="G39" i="20"/>
  <c r="F4" i="15"/>
  <c r="E3" i="8"/>
  <c r="E4" i="8"/>
  <c r="E5" i="8"/>
  <c r="E6" i="8"/>
  <c r="E7" i="8"/>
  <c r="E2" i="8"/>
  <c r="E6" i="15"/>
  <c r="F2" i="10"/>
  <c r="F3" i="10"/>
  <c r="F4" i="10"/>
  <c r="F5" i="10"/>
  <c r="E8" i="7"/>
  <c r="F4" i="4"/>
  <c r="F5" i="4"/>
  <c r="F6" i="4"/>
  <c r="F7" i="4"/>
  <c r="F8" i="4"/>
  <c r="F9" i="4"/>
  <c r="F10" i="4"/>
  <c r="F2" i="4"/>
  <c r="E3" i="4"/>
  <c r="F3" i="15"/>
  <c r="F5" i="15"/>
  <c r="F6" i="15"/>
  <c r="F7" i="15"/>
  <c r="F8" i="15"/>
  <c r="F9" i="15"/>
  <c r="F2" i="15"/>
  <c r="E3" i="15"/>
  <c r="E4" i="15"/>
  <c r="E5" i="15"/>
  <c r="E7" i="15"/>
  <c r="E8" i="15"/>
  <c r="E9" i="15"/>
  <c r="E2" i="15"/>
  <c r="F3" i="14"/>
  <c r="F4" i="14"/>
  <c r="F5" i="14"/>
  <c r="F6" i="14"/>
  <c r="F7" i="14"/>
  <c r="F2" i="14"/>
  <c r="E3" i="14"/>
  <c r="E4" i="14"/>
  <c r="E5" i="14"/>
  <c r="E6" i="14"/>
  <c r="E7" i="14"/>
  <c r="E2" i="14"/>
  <c r="F3" i="13"/>
  <c r="F4" i="13"/>
  <c r="F5" i="13"/>
  <c r="F6" i="13"/>
  <c r="F7" i="13"/>
  <c r="F8" i="13"/>
  <c r="F9" i="13"/>
  <c r="F2" i="13"/>
  <c r="E3" i="13"/>
  <c r="E4" i="13"/>
  <c r="E5" i="13"/>
  <c r="E6" i="13"/>
  <c r="E7" i="13"/>
  <c r="E8" i="13"/>
  <c r="E9" i="13"/>
  <c r="E2" i="13"/>
  <c r="F3" i="12"/>
  <c r="F4" i="12"/>
  <c r="F5" i="12"/>
  <c r="F6" i="12"/>
  <c r="F7" i="12"/>
  <c r="F2" i="12"/>
  <c r="E3" i="12"/>
  <c r="E4" i="12"/>
  <c r="E5" i="12"/>
  <c r="E6" i="12"/>
  <c r="E7" i="12"/>
  <c r="E2" i="12"/>
  <c r="F6" i="10"/>
  <c r="F7" i="10"/>
  <c r="F8" i="10"/>
  <c r="F9" i="10"/>
  <c r="F10" i="10"/>
  <c r="F11" i="10"/>
  <c r="E3" i="10"/>
  <c r="E4" i="10"/>
  <c r="E5" i="10"/>
  <c r="E6" i="10"/>
  <c r="E7" i="10"/>
  <c r="E8" i="10"/>
  <c r="E9" i="10"/>
  <c r="E10" i="10"/>
  <c r="E11" i="10"/>
  <c r="E2" i="10"/>
  <c r="F3" i="11"/>
  <c r="F4" i="11"/>
  <c r="F5" i="11"/>
  <c r="F6" i="11"/>
  <c r="F7" i="11"/>
  <c r="F8" i="11"/>
  <c r="F9" i="11"/>
  <c r="F2" i="11"/>
  <c r="E3" i="11"/>
  <c r="E4" i="11"/>
  <c r="E5" i="11"/>
  <c r="E6" i="11"/>
  <c r="E7" i="11"/>
  <c r="E8" i="11"/>
  <c r="E9" i="11"/>
  <c r="E2" i="11"/>
  <c r="F3" i="9"/>
  <c r="F4" i="9"/>
  <c r="F5" i="9"/>
  <c r="F6" i="9"/>
  <c r="F7" i="9"/>
  <c r="F8" i="9"/>
  <c r="F9" i="9"/>
  <c r="F10" i="9"/>
  <c r="F11" i="9"/>
  <c r="F12" i="9"/>
  <c r="F2" i="9"/>
  <c r="E3" i="9"/>
  <c r="E4" i="9"/>
  <c r="E5" i="9"/>
  <c r="E6" i="9"/>
  <c r="E7" i="9"/>
  <c r="E8" i="9"/>
  <c r="E9" i="9"/>
  <c r="E10" i="9"/>
  <c r="E11" i="9"/>
  <c r="E12" i="9"/>
  <c r="E2" i="9"/>
  <c r="F3" i="8"/>
  <c r="F4" i="8"/>
  <c r="F5" i="8"/>
  <c r="F6" i="8"/>
  <c r="F7" i="8"/>
  <c r="F2" i="8"/>
  <c r="F3" i="7"/>
  <c r="F4" i="7"/>
  <c r="F5" i="7"/>
  <c r="F6" i="7"/>
  <c r="F7" i="7"/>
  <c r="F8" i="7"/>
  <c r="F2" i="7"/>
  <c r="F2" i="6"/>
  <c r="E3" i="7"/>
  <c r="E4" i="7"/>
  <c r="E5" i="7"/>
  <c r="E6" i="7"/>
  <c r="E7" i="7"/>
  <c r="E2" i="6"/>
  <c r="E4" i="6"/>
  <c r="E5" i="6"/>
  <c r="E6" i="6"/>
  <c r="E7" i="6"/>
  <c r="E8" i="6"/>
  <c r="E2" i="7"/>
  <c r="E3" i="6"/>
  <c r="E3" i="5"/>
  <c r="E2" i="5"/>
  <c r="F3" i="6"/>
  <c r="F4" i="6"/>
  <c r="F5" i="6"/>
  <c r="F6" i="6"/>
  <c r="F7" i="6"/>
  <c r="F8" i="6"/>
  <c r="F2" i="5"/>
  <c r="F3" i="5"/>
  <c r="F4" i="5"/>
  <c r="F5" i="5"/>
  <c r="F6" i="5"/>
  <c r="F7" i="5"/>
  <c r="F8" i="5"/>
  <c r="E4" i="5"/>
  <c r="E5" i="5"/>
  <c r="E6" i="5"/>
  <c r="E7" i="5"/>
  <c r="E8" i="5"/>
  <c r="E2" i="4"/>
  <c r="F3" i="4"/>
  <c r="E4" i="4"/>
  <c r="E5" i="4"/>
  <c r="E6" i="4"/>
  <c r="E7" i="4"/>
  <c r="E8" i="4"/>
  <c r="E9" i="4"/>
  <c r="E10" i="4"/>
</calcChain>
</file>

<file path=xl/sharedStrings.xml><?xml version="1.0" encoding="utf-8"?>
<sst xmlns="http://schemas.openxmlformats.org/spreadsheetml/2006/main" count="686" uniqueCount="422">
  <si>
    <t>Description</t>
  </si>
  <si>
    <t>IAM</t>
  </si>
  <si>
    <t>Structural Domains</t>
  </si>
  <si>
    <t>DevSecOps</t>
  </si>
  <si>
    <t>ID</t>
  </si>
  <si>
    <t>Most compute workloads are autoscaled or serverless</t>
  </si>
  <si>
    <t>GOV-02.1</t>
  </si>
  <si>
    <t>GOV-03.1</t>
  </si>
  <si>
    <t>GOV-03.2</t>
  </si>
  <si>
    <t>GOV-03.3</t>
  </si>
  <si>
    <t>GOV-04.1</t>
  </si>
  <si>
    <t>GOV-04.2</t>
  </si>
  <si>
    <t>GOV-04.3</t>
  </si>
  <si>
    <t>GOV-04.4</t>
  </si>
  <si>
    <t>GOV-05.1</t>
  </si>
  <si>
    <t>ORM-05.1</t>
  </si>
  <si>
    <t>ORM-03.1</t>
  </si>
  <si>
    <t>ORM-04.1</t>
  </si>
  <si>
    <t>ORM-04.2</t>
  </si>
  <si>
    <t>ORM-02.1</t>
  </si>
  <si>
    <t>ORM-02.2</t>
  </si>
  <si>
    <t>IAM-02.1</t>
  </si>
  <si>
    <t>IAM-02.2</t>
  </si>
  <si>
    <t>IAM-03.1</t>
  </si>
  <si>
    <t>IAM-03.2</t>
  </si>
  <si>
    <t>IAM-04.1</t>
  </si>
  <si>
    <t>IAM-05.1</t>
  </si>
  <si>
    <t>LOG-02.1</t>
  </si>
  <si>
    <t>LOG-03.1</t>
  </si>
  <si>
    <t>LOG-03.2</t>
  </si>
  <si>
    <t>LOG-04.1</t>
  </si>
  <si>
    <t>LOG-04.2</t>
  </si>
  <si>
    <t>LOG-05.1</t>
  </si>
  <si>
    <t>LOG-05.2</t>
  </si>
  <si>
    <t>NET-02.1</t>
  </si>
  <si>
    <t>NET-03.1</t>
  </si>
  <si>
    <t>NET-03.2</t>
  </si>
  <si>
    <t>NET-04.1</t>
  </si>
  <si>
    <t>NET-04.2</t>
  </si>
  <si>
    <t>NET-05.1</t>
  </si>
  <si>
    <t>WKL-02.1</t>
  </si>
  <si>
    <t>WKL-02.2</t>
  </si>
  <si>
    <t>WKL-03.1</t>
  </si>
  <si>
    <t>WKL-03.2</t>
  </si>
  <si>
    <t>WKL-03.3</t>
  </si>
  <si>
    <t>WKL-04.1</t>
  </si>
  <si>
    <t>WKL-04.2</t>
  </si>
  <si>
    <t>WKL-04.3</t>
  </si>
  <si>
    <t>WKL-04.4</t>
  </si>
  <si>
    <t>WKL-05.1</t>
  </si>
  <si>
    <t>APP-02.1</t>
  </si>
  <si>
    <t>APP-03.1</t>
  </si>
  <si>
    <t>APP-03.2</t>
  </si>
  <si>
    <t>APP-03.3</t>
  </si>
  <si>
    <t>APP-04.1</t>
  </si>
  <si>
    <t>APP-04.2</t>
  </si>
  <si>
    <t>APP-04.3</t>
  </si>
  <si>
    <t>APP-05.1</t>
  </si>
  <si>
    <t>DAT-02.1</t>
  </si>
  <si>
    <t>DAT-02.2</t>
  </si>
  <si>
    <t>DAT-03.1</t>
  </si>
  <si>
    <t>DAT-03.2</t>
  </si>
  <si>
    <t>DAT-04.1</t>
  </si>
  <si>
    <t>DAT-04.2</t>
  </si>
  <si>
    <t>DAT-05.1</t>
  </si>
  <si>
    <t>DAT-05.2</t>
  </si>
  <si>
    <t>RSK-02.1</t>
  </si>
  <si>
    <t>RSK-03.1</t>
  </si>
  <si>
    <t>RSK-04.1</t>
  </si>
  <si>
    <t>RSK-04.2</t>
  </si>
  <si>
    <t>RSK-05.1</t>
  </si>
  <si>
    <t>RSK-05.2</t>
  </si>
  <si>
    <t>BCR-05.2</t>
  </si>
  <si>
    <t>BCR-05.1</t>
  </si>
  <si>
    <t>BCR-04.3</t>
  </si>
  <si>
    <t>BCR-04.2</t>
  </si>
  <si>
    <t>BCR-04.1</t>
  </si>
  <si>
    <t>BCR-03.2</t>
  </si>
  <si>
    <t>BCR-03.1</t>
  </si>
  <si>
    <t>BCR-02.1</t>
  </si>
  <si>
    <t>IR-03.1</t>
  </si>
  <si>
    <t>IR-02.1</t>
  </si>
  <si>
    <t>IR-03.2</t>
  </si>
  <si>
    <t>IR-04.1</t>
  </si>
  <si>
    <t>IR-04.2</t>
  </si>
  <si>
    <t>IR-04.3</t>
  </si>
  <si>
    <t>IR-05.1</t>
  </si>
  <si>
    <t>IR-05.2</t>
  </si>
  <si>
    <t>CA-04.1</t>
  </si>
  <si>
    <t>CA-04.2</t>
  </si>
  <si>
    <t>CA-05.1</t>
  </si>
  <si>
    <t>CA-03.2</t>
  </si>
  <si>
    <t>CA-03.1</t>
  </si>
  <si>
    <t>CA-02.1</t>
  </si>
  <si>
    <t>APP-05.2</t>
  </si>
  <si>
    <t>ORM-03.2</t>
  </si>
  <si>
    <t>IAM-05.2</t>
  </si>
  <si>
    <t>APP-03.4</t>
  </si>
  <si>
    <t>Application secrets are stored in a secrets manager or vaulting solution.</t>
  </si>
  <si>
    <t>Most compute workloads, including instances/VMs/containers, are autoscaled. Autoscaling is a cloud-native architectural pattern that increases resiliency of running workloads. 
Autoscaling can be implemented in VMs/instances or containers. Serverless functions, by their nature, are ephemeral and autoscaled. To reach maturity Level 4, most workloads (&gt;60%) in production environments are autoscaled.</t>
  </si>
  <si>
    <t>WKL-05.2</t>
  </si>
  <si>
    <t>Niveau de maturité</t>
  </si>
  <si>
    <t>Initiale</t>
  </si>
  <si>
    <t>Répétable</t>
  </si>
  <si>
    <t>Défini</t>
  </si>
  <si>
    <t>Optimisé</t>
  </si>
  <si>
    <t>Déini</t>
  </si>
  <si>
    <t>Maîtrisé</t>
  </si>
  <si>
    <t xml:space="preserve">Optimisé </t>
  </si>
  <si>
    <t>Domaines fondamentaux</t>
  </si>
  <si>
    <t>Gouvernance</t>
  </si>
  <si>
    <t>Gouvernance globale de l’adoption du cloud : choix des fournisseurs, politiques de sécurité, règles d’utilisation et gestion de l’architecture cloud.</t>
  </si>
  <si>
    <t>Aucune gouvernance liée au cloud. L’utilisation du cloud n’est pas autorisée ou n’est pas encadrée. Les équipes pourraient utiliser des services cloud de manière isolée.</t>
  </si>
  <si>
    <t>Certains fournisseurs cloud sont identifiés ou approuvés. Quelques politiques existent mais elles sont souvent basées sur les pratiques de sécurité de l’infrastructure interne.</t>
  </si>
  <si>
    <t>Une organisation commence à structurer l’adoption du cloud (équipe cloud ou référent cloud). Des politiques et standards de sécurité pour le cloud sont définis.</t>
  </si>
  <si>
    <t>Une équipe cloud centrale définit les règles d’utilisation et les standards de sécurité. Les responsabilités et les contrôles de sécurité cloud sont clairement définis</t>
  </si>
  <si>
    <t>La gouvernance cloud est intégrée dans les processus de l’organisation. Les politiques et contrôles sont maintenus et mis à jour de manière automatisée.</t>
  </si>
  <si>
    <t>Organisation et préparation de l’architecture cloud afin d’assurer des déploiements sécurisés et maîtrisés.</t>
  </si>
  <si>
    <t>Aucune architecture ou organisation prévue pour le cloud. Les futurs déploiements seraient réalisés sans structure claire.</t>
  </si>
  <si>
    <t>Premières recommandations ou checklists pour préparer les déploiements cloud. La gestion reste essentiellement manuelle.</t>
  </si>
  <si>
    <t>Une architecture cloud de base est définie et les contrôles de sécurité commencent à être intégrés dans la conception.</t>
  </si>
  <si>
    <t>Les déploiements cloud sont automatisés à l’aide d’Infrastructure as Code (IaC). Des politiques de sécurité préventives sont définies.</t>
  </si>
  <si>
    <t>Architecture cloud bien structurée avec automatisation complète du déploiement et de la gestion des ressources.</t>
  </si>
  <si>
    <t>Gestion des identités, de l’authentification et des autorisations pour contrôler l’accès aux systèmes de l’organisation et préparer l’accès aux futures ressources cloud.</t>
  </si>
  <si>
    <t>Gestion des identités non centralisée.
Peu ou pas de MFA.
Pas de fédération d’identités.</t>
  </si>
  <si>
    <t>Premières solutions de fédération d’identités ou SSO.
MFA utilisé dans certains cas mais pas généralisé.</t>
  </si>
  <si>
    <t>Gestion des identités plus structurée avec MFA sur plusieurs services.
Politiques d’accès définies mais gestion encore partiellement manuelle.</t>
  </si>
  <si>
    <t>Fédération d’identités généralisée.
Automatisation de la gestion des accès et gestion sécurisée des secrets.</t>
  </si>
  <si>
    <t>Gestion IAM entièrement automatisée.
Contrôles d’accès avancés et intégration complète avec les outils et API.</t>
  </si>
  <si>
    <t>Collecte et analyse des journaux et événements de sécurité afin de détecter les incidents et surveiller les systèmes de l’organisation et les futures ressources cloud.</t>
  </si>
  <si>
    <t>Peu ou pas de supervision de sécurité.
Les journaux sont rarement collectés ou analysés.</t>
  </si>
  <si>
    <t>Collecte de certains journaux de sécurité et premières alertes.
La supervision reste limitée et peu centralisée.</t>
  </si>
  <si>
    <t>Centralisation partielle des journaux et mise en place de mécanismes de détection d’incidents.</t>
  </si>
  <si>
    <t>Collecte complète des journaux et détection des menaces sur les systèmes et services.
Les alertes sont analysées par les équipes responsables.</t>
  </si>
  <si>
    <t>Supervision de sécurité avancée et centralisée avec corrélation des événements et détection automatisée des menaces.</t>
  </si>
  <si>
    <t>Architecture réseau traditionnelle.
Sécurité réseau basique et contrôles peu structurés.</t>
  </si>
  <si>
    <t>Sécurisation des réseaux et des connexions entre les systèmes de l’organisation et les futures ressources cloud.</t>
  </si>
  <si>
    <t>Protéger les composants techniques qui formeront l’infrastructure cloud</t>
  </si>
  <si>
    <t>Premières configurations réseau adaptées au cloud.
Utilisation partielle des mécanismes de sécurité cloud.</t>
  </si>
  <si>
    <t>Architecture réseau segmentée pour limiter les attaques.
Utilisation combinée d’approches réseau cloud et hybrides.</t>
  </si>
  <si>
    <t>Architecture réseau cloud structurée avec segmentation et politiques de sécurité automatisées.</t>
  </si>
  <si>
    <t>Architecture réseau entièrement conçue pour les applications cloud avec contrôles centralisés et automatisés.</t>
  </si>
  <si>
    <t>Protection des environnements où s’exécutent les applications et services (machines virtuelles, conteneurs ou fonctions).</t>
  </si>
  <si>
    <t>Applications exécutées sur des machines virtuelles avec des contrôles de sécurité hérités du datacenter.</t>
  </si>
  <si>
    <t>Utilisation d’outils traditionnels de gestion des infrastructures.
Premières automatisations de configuration.</t>
  </si>
  <si>
    <t>Utilisation d’outils cloud natifs et premières intégrations de sécurité dans les processus de déploiement.</t>
  </si>
  <si>
    <t>Infrastructure immuable utilisée lorsque possible.
La sécurité est intégrée dans les pipelines de déploiement.</t>
  </si>
  <si>
    <t>Infrastructure immuable et déploiements fréquents automatisés.
Les mécanismes de sécurité sont intégrés en continu dans les services et fonctions cloud.</t>
  </si>
  <si>
    <t>Supervision de la sécurité</t>
  </si>
  <si>
    <t>Sécurité réseau</t>
  </si>
  <si>
    <t>Sécurité des charges de travail</t>
  </si>
  <si>
    <t>Sécurité des applications sur l’ensemble de l’architecture (tests de sécurité, protection des pipelines de déploiement et des services).</t>
  </si>
  <si>
    <t>Tests de sécurité traditionnels des applications (AST) et protections classiques comme les WAF.</t>
  </si>
  <si>
    <t>Tests principalement manuels et évaluations ponctuelles de la sécurité des pipelines.
Première utilisation d’outils de sécurité des applications.</t>
  </si>
  <si>
    <t>Tests de sécurité spécifiques au cloud.
Protection des applications exposées (WAF/DDoS) et intégration des tests de sécurité dans les pipelines CI/CD.</t>
  </si>
  <si>
    <t>Tests de sécurité automatisés dans les pipelines CI/CD.
Utilisation de mécanismes de sécurité applicative (AppSec guardrails).</t>
  </si>
  <si>
    <t>Tests de sécurité entièrement automatisés pour toutes les applications.
Utilisation d’équipes ou processus de type red team pour tester les applications cloud.</t>
  </si>
  <si>
    <t>Protection des données par des mécanismes de contrôle d’accès, de chiffrement et de gestion des clés.</t>
  </si>
  <si>
    <t>Contrôles d’accès basiques et souvent mal configurés.</t>
  </si>
  <si>
    <t>Chiffrement activé avec des configurations simples et gestion manuelle des clés.</t>
  </si>
  <si>
    <t>Première utilisation de clés gérées par l’organisation et automatisation partielle des contrôles d’accès.</t>
  </si>
  <si>
    <t>Utilisation généralisée de clés gérées par l’organisation.
Chiffrement des données critiques et contrôles d’accès basés sur des politiques.</t>
  </si>
  <si>
    <t>Gestion avancée des clés et chiffrement automatisé.
Surveillance continue des données et détection des données non autorisées.</t>
  </si>
  <si>
    <t>Sécurité applicative</t>
  </si>
  <si>
    <t>Protection des données</t>
  </si>
  <si>
    <t>Domaines Procéduraux</t>
  </si>
  <si>
    <t>Catégories qui décrivent les processus organisationnels nécessaires pour sécuriser l’utilisation du cloud et maintenir ce niveau de sécurité dans le temps.</t>
  </si>
  <si>
    <t>Évaluation des risques et gestion des fournisseurs</t>
  </si>
  <si>
    <t>L’évaluation des risques comprend trois aspects :: 1)la sélection des fournisseurs cloud, 2) le suivi et la réévaluation continue des fournisseurs, and 3) l’analyse des risques liés aux projets et aux migrations vers le cloud..</t>
  </si>
  <si>
    <t>Utilisation des méthodes existantes d’analyse de risques sans processus spécifique pour le cloud.</t>
  </si>
  <si>
    <t>Le choix des fournisseurs est principalement réalisé par les équipes métiers.
La sécurité peut intervenir pour évaluer les risques mais de manière irrégulière.</t>
  </si>
  <si>
    <t>Des standards de sécurité de base sont définis pour les différents modèles cloud (IaaS, PaaS, SaaS).
Un registre des fournisseurs cloud est établi avec un premier niveau d’évaluation des risques.</t>
  </si>
  <si>
    <t>La sécurité participe systématiquement à l’évaluation des fournisseurs et des déploiements cloud.
Les risques sont réévalués régulièrement et les approbations sont formalisées.</t>
  </si>
  <si>
    <t>Les évaluations de risques sont intégrées dans les projets cloud et les migrations.
Les fournisseurs et les projets sont analysés en continu et les profils de risque sont régulièrement mis à jour.</t>
  </si>
  <si>
    <t>Résilience</t>
  </si>
  <si>
    <t>Capacité de l’organisation à assurer la disponibilité, la continuité d’activité et la reprise après incident pour les systèmes et les futures ressources cloud.</t>
  </si>
  <si>
    <t>Aucun mécanisme spécifique de résilience pour les environnements cloud.</t>
  </si>
  <si>
    <t>Mise en place de sauvegardes et premiers mécanismes de reprise.
Les déploiements restent généralement dans une seule région ou infrastructure.</t>
  </si>
  <si>
    <t>Utilisation partielle de mécanismes d’automatisation et de scalabilité pour améliorer la résilience.
Début d’utilisation de déploiements multi-zones ou multi-régions.</t>
  </si>
  <si>
    <t>La majorité des déploiements sont automatisés avec Infrastructure as Code (IaC).
Certaines architectures multi-régions sont utilisées pour améliorer la continuité de service.</t>
  </si>
  <si>
    <t>Tous les déploiements critiques utilisent l’Infrastructure as Code.
Les mécanismes de basculement automatique, de reprise et de résilience sont intégrés dans l’architecture.</t>
  </si>
  <si>
    <t>Conformité et Audit</t>
  </si>
  <si>
    <t>Respect des exigences réglementaires, des normes et des obligations de conformité applicables à l’utilisation du cloud.</t>
  </si>
  <si>
    <t>Aucun reporting ni action de conformité spécifique pour les ressources cloud.</t>
  </si>
  <si>
    <t>Absence de standards spécifiques au cloud.
Les évaluations de conformité et les corrections sont réalisées de manière ponctuelle.</t>
  </si>
  <si>
    <t>Les fournisseurs cloud et leurs services sont approuvés.
Des évaluations régulières sont réalisées et les contrôles sont comparés aux standards de conformité.</t>
  </si>
  <si>
    <t>Évaluation continue des ressources grâce à des mécanismes automatisés.
Les corrections restent en partie manuelles et le reporting est partiellement automatisé.</t>
  </si>
  <si>
    <t>Évaluation continue et correction automatique des écarts de conformité grâce à l’automatisation cloud.
Le reporting est entièrement automatisé avec des tableaux de bord.</t>
  </si>
  <si>
    <t>Réponse aux incidents</t>
  </si>
  <si>
    <t>Processus permettant de détecter, analyser et répondre aux incidents de sécurité liés aux systèmes et aux futures ressources cloud.</t>
  </si>
  <si>
    <t>Aucun processus spécifique de réponse aux incidents liés au cloud.
Les procédures existantes sont utilisées si elles existent.</t>
  </si>
  <si>
    <t>Réponse manuelle aux incidents.
La collecte d’informations et l’escalade des incidents sont encore incohérentes.</t>
  </si>
  <si>
    <t>Réponse aux incidents structurée mais encore principalement manuelle.
Utilisation d’outils basiques de gestion des incidents.</t>
  </si>
  <si>
    <t>Les équipes utilisent des outils et des processus adaptés au cloud.
Certaines actions de réponse sont automatisées.</t>
  </si>
  <si>
    <t>Processus de réponse aux incidents entièrement automatisé et orchestré.
Des simulations et tests réguliers (type red team ou exercices de crise) sont réalisés.</t>
  </si>
  <si>
    <t>Aucune automatisation</t>
  </si>
  <si>
    <t>Automatisation expérimentale</t>
  </si>
  <si>
    <t>Automatisation de base</t>
  </si>
  <si>
    <t>Automatisation généralisée</t>
  </si>
  <si>
    <t>L’automatisation est la norme</t>
  </si>
  <si>
    <t>Catégories fondamentales et critiques permettant d’assurer un niveau de sécurité de base</t>
  </si>
  <si>
    <t>Signification</t>
  </si>
  <si>
    <t>Commentaires</t>
  </si>
  <si>
    <t>Fournisseurs cloud approuvés</t>
  </si>
  <si>
    <t>L’organisation a identifié et validé les fournisseurs cloud autorisés à être utilisés.</t>
  </si>
  <si>
    <t>Existence d’un Cloud Center of Excellence (CCoE)</t>
  </si>
  <si>
    <t>Un Cloud Center of Excellence (CCoE), un Cloud Council ou une équipe centrale de gouvernance cloud est en place pour guider l’adoption et l’utilisation du cloud.
Pour un niveau de maturité 3, cette équipe peut encore être en phase de structuration.
Dans les organisations plus petites, ce rôle peut être assuré par l’équipe IT ou sécurité existante, sans qu’un CCoE formel soit nécessaire.</t>
  </si>
  <si>
    <t>Premiers référentiels de sécurité définis</t>
  </si>
  <si>
    <t>L’organisation a défini des standards de sécurité pour encadrer l’utilisation future du cloud (ex : CIS Benchmarks ou bonnes pratiques des fournisseurs cloud).</t>
  </si>
  <si>
    <t>Existence d’un registre des ressources cloud</t>
  </si>
  <si>
    <t>CCoE dispose d’une autorité</t>
  </si>
  <si>
    <t>Un registre centralisé des fournisseurs cloud et des déploiements est maintenu (responsable, type d’environnement, niveau de risque, etc.).</t>
  </si>
  <si>
    <t>Une équipe ou autorité centrale définit et applique les règles de sécurité cloud.</t>
  </si>
  <si>
    <t>Objectifs de sécurité cloud définis</t>
  </si>
  <si>
    <t>L’organisation définit des objectifs de sécurité pour l’utilisation du cloud, basés sur des référentiels reconnus (ex. CSA CCM).</t>
  </si>
  <si>
    <t>Spécifications de contrôle appliquées</t>
  </si>
  <si>
    <t>Des contrôles de sécurité techniques sont définis et appliqués pour les fournisseurs cloud utilisés.</t>
  </si>
  <si>
    <t>Gouvernance cloud automatisée</t>
  </si>
  <si>
    <t>La gouvernance et les contrôles de sécurité cloud sont gérés à l’aide d’outils d’automatisation (ex. IaC, CI/CD).</t>
  </si>
  <si>
    <t>Mise à jour continue des objectifs et contrôles de sécurité cloud</t>
  </si>
  <si>
    <t>Les objectifs et contrôles de sécurité cloud sont mis à jour régulièrement en fonction de l’évolution des services des fournisseurs cloud.</t>
  </si>
  <si>
    <t>Déploiements organisés dans une hiérarchie</t>
  </si>
  <si>
    <t>Les déploiements cloud sont structurés dans une hiérarchie.</t>
  </si>
  <si>
    <t>Checklist de sécurité</t>
  </si>
  <si>
    <t>Une checklist de contrôles de sécurité est utilisée pour vérifier les nouveaux déploiements et peut être documentée ou automatisée via des outils de sécurité.</t>
  </si>
  <si>
    <t>CSPM implémenté et utilisé</t>
  </si>
  <si>
    <t>Un outil de gestion de la posture de sécurité cloud (CSPM) est utilisé pour détecter les mauvaises configurations dans les déploiements cloud.</t>
  </si>
  <si>
    <t>Politiques préventives du fournisseur cloud utilisées</t>
  </si>
  <si>
    <t>Des politiques de sécurité préventives du fournisseur cloud sont appliquées dans l’organisation.</t>
  </si>
  <si>
    <t>Déploiements utilisés pour limiter l’impact des incidents</t>
  </si>
  <si>
    <t>Les déploiements sont organisés dans une structure hiérarchique (comptes, abonnements, projets, etc.) afin de limiter l’impact d’un incident de sécurité sur l’ensemble de l’environnement.</t>
  </si>
  <si>
    <t>Les politiques préventives du fournisseur cloud sont utilisées de manière cohérente</t>
  </si>
  <si>
    <t>Les politiques de sécurité préventives du fournisseur cloud (par exemple AWS Service Control Policies, Azure Policies ou GCP Policies) sont utilisées et appliquées dans l’ensemble de l’organisation afin de contrôler les déploiements.</t>
  </si>
  <si>
    <t>Les contrôles de sécurité sont automatiquement déployés et gérés par automatisation</t>
  </si>
  <si>
    <t>Les déploiements cloud sont automatisés et incluent automatiquement les principaux contrôles de sécurité.</t>
  </si>
  <si>
    <t>SSO utilisé pour la majorité des accès à la console cloud</t>
  </si>
  <si>
    <t>L’accès à la console ou au portail du fournisseur cloud se fait via un système d’authentification unique (SSO), fourni par un service externe ou intégré à la plateforme cloud.</t>
  </si>
  <si>
    <t>MFA requis pour l’accès à la console cloud</t>
  </si>
  <si>
    <t>L’accès à la console cloud nécessite une authentification multifacteur (MFA).</t>
  </si>
  <si>
    <t>Les utilisateurs accèdent à la console cloud uniquement via le SSO</t>
  </si>
  <si>
    <t>L’accès à la console cloud est uniquement possible via le portail SSO.
Un compte d’urgence peut exister pour les situations exceptionnelles.</t>
  </si>
  <si>
    <t>MFA appliqué pour les accès API et CLI</t>
  </si>
  <si>
    <t>L’authentification multifacteur est également appliquée aux accès via API ou ligne de commande (CLI) afin de sécuriser les accès programmatiques au cloud.</t>
  </si>
  <si>
    <t>Les politiques IAM sont automatiquement analysées pour détecter les accès trop larges ou les risques d’escalade de privilèges</t>
  </si>
  <si>
    <t>Les politiques IAM sont analysées pour détecter les privilèges excessifs et les risques d’escalade.</t>
  </si>
  <si>
    <t>Un périmètre de sécurité IAM est appliqué</t>
  </si>
  <si>
    <t>Un périmètre de sécurité IAM limite l’origine des appels API et l’accès aux ressources cloud, par exemple en utilisant :
- des restrictions d’adresses IP
- des contraintes sur les appareils ou les environnements autorisés.
L’objectif est d’empêcher l’utilisation abusive de credentials ou de sessions volées.</t>
  </si>
  <si>
    <t>Accès Just-In-Time (JIT) utilisé pour les environnements de production</t>
  </si>
  <si>
    <t>L’accès aux environnements de production est accordé temporairement à la demande, plutôt que de permettre des accès permanents aux utilisateurs.</t>
  </si>
  <si>
    <t>Collecte de logs de base mise en place mais pas encore cohérente</t>
  </si>
  <si>
    <t>Les principaux logs du plan de gestion du cloud sont collectés, mais la collecte peut ne pas être centralisée ou uniforme.
Les logs d’activité cloud sont au minimum collectés pour la majorité des déploiements.</t>
  </si>
  <si>
    <t>Les logs d’activité API du plan de gestion sont collectés et centralisés</t>
  </si>
  <si>
    <t>Les logs liés aux activités du plan de gestion du cloud sont collectés de manière cohérente et centralisés.</t>
  </si>
  <si>
    <t>Les flux de détection des menaces du fournisseur cloud sont activés</t>
  </si>
  <si>
    <t>Les flux de sécurité et de détection des menaces fournis par les fournisseurs cloud sont activés et collectés au moins pour les environnements de production, afin d’identifier les activités suspectes.</t>
  </si>
  <si>
    <t>Télémétrie de sécurité cloud collectée de manière centralisée</t>
  </si>
  <si>
    <t>Les différentes sources de télémétrie de sécurité du cloud (logs, événements de sécurité, flux de détection, logs des workloads) sont collectées et centralisées afin d’améliorer la supervision et la détection des incidents.</t>
  </si>
  <si>
    <t>Les détecteurs de menaces natifs du cloud sont activés</t>
  </si>
  <si>
    <t>Les outils de détection des menaces fournis par la plateforme cloud surveillent les activités du cloud (plan de gestion, événements, etc.) afin d’identifier des comportements suspects ou des attaques potentielles.</t>
  </si>
  <si>
    <t>Les configurations de télémétrie de sécurité cloud sont déployées automatiquement et de manière cohérente</t>
  </si>
  <si>
    <t>Les configurations de télémétrie de sécurité (logs, événements de sécurité, données de surveillance) sont automatiquement déployées sur les différents composants du cloud : ressources, services et workloads.</t>
  </si>
  <si>
    <t>Des outils automatisés vérifient que la télémétrie de sécurité et les mécanismes de détection sont actifs et efficaces</t>
  </si>
  <si>
    <t>Des outils automatisés vérifient que les systèmes de télémétrie et de détection de sécurité fonctionnent correctement.</t>
  </si>
  <si>
    <t>Ports sensibles non exposés</t>
  </si>
  <si>
    <t>Ressources non exposées</t>
  </si>
  <si>
    <t>Ports réseau limités</t>
  </si>
  <si>
    <t>Réseaux déployés via IaC</t>
  </si>
  <si>
    <t>Les ports sensibles (par exemple SSH, RDP ou ports de bases de données) ne sont pas accessibles directement depuis Internet.</t>
  </si>
  <si>
    <t>Les ressources cloud (machines virtuelles, conteneurs, etc.) sont protégées par des mécanismes de sécurité réseau comme des load balancers ou des règles de filtrage, et sont idéalement placées dans des réseaux privés.</t>
  </si>
  <si>
    <t>Les règles de sécurité réseau limitent les ports ouverts afin de réduire les surfaces d’attaque.</t>
  </si>
  <si>
    <t>Les configurations réseau sont déployées et maintenues à l’aide de modèles automatisés (IaC) basés sur des configurations sécurisées approuvées</t>
  </si>
  <si>
    <t>Mise en place d’une architecture réseau minimale sécurisée</t>
  </si>
  <si>
    <t>Les architectures réseau cloud utilisent uniquement les ressources nécessaires au fonctionnement des applications, avec :
- des règles de sécurité strictes
- des tables de routage limitées
- une segmentation du réseau.
Cela permet de réduire la surface d’attaque et limiter l’impact d’un incident réseau.</t>
  </si>
  <si>
    <t>Les mauvaises configurations réseau exposées à Internet sont corrigées automatiquement</t>
  </si>
  <si>
    <t>Des outils automatisés détectent et corrigent les mauvaises configurations réseau exposées à Internet, comme :
- l’ouverture de ports sensibles (ex. SSH, RDP)
- des règles réseau trop permissives.</t>
  </si>
  <si>
    <t>Certaines instances/VM sont gérées avec des outils de gestion de configuration</t>
  </si>
  <si>
    <t>Certaines machines virtuelles ou instances cloud utilisent des outils de gestion de configuration pour automatiser leur configuration, plutôt que d’être gérées entièrement manuellement.</t>
  </si>
  <si>
    <t>Les instances/VM sont analysées pour détecter les vulnérabilités</t>
  </si>
  <si>
    <t>Les machines virtuelles et instances cloud sont régulièrement analysées afin d’identifier les vulnérabilités de sécurité.</t>
  </si>
  <si>
    <t>Les conteneurs utilisent la plateforme d’orchestration du fournisseur cloud</t>
  </si>
  <si>
    <t>Les conteneurs sont gérés via une plateforme d’orchestration fournie par le fournisseur cloud (par exemple Kubernetes managé), ce qui réduit la complexité et les risques de sécurité.</t>
  </si>
  <si>
    <t>Utilisation modérée d’instances/VM immuables</t>
  </si>
  <si>
    <t>Certaines charges de travail utilisent des instances immuables avec autoscaling.</t>
  </si>
  <si>
    <t>L’utilisation d’instances/VM de longue durée est limitée</t>
  </si>
  <si>
    <t>Les instances cloud ne restent pas actives pendant de longues périodes afin de réduire les risques liés aux systèmes non mis à jour ou abandonnés.</t>
  </si>
  <si>
    <t>Les images sont créées via des pipelines CI/CD avec des tests de sécurité intégrés</t>
  </si>
  <si>
    <t>Les images utilisées pour les workloads sont créées via des pipelines CI/CD intégrant des analyses de sécurité (par exemple analyse de dépendances et analyse de vulnérabilités) afin de garantir une base sécurisée.</t>
  </si>
  <si>
    <t>Une plateforme de sécurité des conteneurs est en place</t>
  </si>
  <si>
    <t>Une plateforme de sécurité permet de protéger les environnements de conteneurs, notamment en analysant :
- les images de conteneurs
- la configuration de l’orchestrateur
- la sécurité au runtime.</t>
  </si>
  <si>
    <t>Les fonctions serverless (FaaS) n’ont pas de privilèges excessifs</t>
  </si>
  <si>
    <t>Les fonctions serverless utilisent des permissions minimales et évitent les privilèges administratifs afin de limiter les risques de sécurité.</t>
  </si>
  <si>
    <t>L’analyse de vulnérabilités cloud-native est utilisée de manière cohérente</t>
  </si>
  <si>
    <t>Les workloads cloud sont régulièrement analysés pour détecter les vulnérabilités à l’aide d’outils d’analyse adaptés au cloud.</t>
  </si>
  <si>
    <t>Les workloads immuables sont la norme et n’exposent pas de ports d’administration</t>
  </si>
  <si>
    <t>Les workloads sont majoritairement immuables et utilisent l’autoscaling.
Les ports d’administration à distance (ex. SSH ou RDP) sont désactivés afin de réduire la surface d’attaque.</t>
  </si>
  <si>
    <t>Stockage non public</t>
  </si>
  <si>
    <t>Le stockage d’objets n’est pas public sans autorisation.</t>
  </si>
  <si>
    <t>Chiffrement par défaut</t>
  </si>
  <si>
    <t>Les volumes de stockage utilisent le chiffrement par défaut.</t>
  </si>
  <si>
    <t>Protection contre stockage public</t>
  </si>
  <si>
    <t>Les contrôles cloud empêchent l’exposition publique du stockage.</t>
  </si>
  <si>
    <t>Clés de chiffrement gérées</t>
  </si>
  <si>
    <t>Certaines ressources utilisent des clés gérées par le client.</t>
  </si>
  <si>
    <t>Détection des expositions publiques</t>
  </si>
  <si>
    <t>Les déploiements sont analysés pour détecter les expositions publiques.</t>
  </si>
  <si>
    <t>Clés avec moindre privilège</t>
  </si>
  <si>
    <t>Les clés de chiffrement respectent le principe du moindre privilège.</t>
  </si>
  <si>
    <t>Détection de données sensibles</t>
  </si>
  <si>
    <t>Les déploiements sont analysés pour détecter des données sensibles non autorisées.</t>
  </si>
  <si>
    <t>Correction automatique des expositions</t>
  </si>
  <si>
    <t>Les expositions publiques de données sont corrigées automatiquement.</t>
  </si>
  <si>
    <t>Modélisation des menaces pour les applications cloud</t>
  </si>
  <si>
    <t>Une analyse de menaces est réalisée pour les applications développées ou migrées vers le cloud.
Cette analyse prend en compte les risques spécifiques au cloud, notamment l’exposition de ressources accessibles depuis Internet et les risques liés à la gestion des identités et des identifiants.</t>
  </si>
  <si>
    <t>Certaines applications sont déployées via des pipelines CI/CD</t>
  </si>
  <si>
    <t>Certaines applications sont développées, testées et déployées à l’aide de pipelines CI/CD.
Cette approche améliore la cohérence et la fiabilité des déploiements et constitue une base pour intégrer des contrôles de sécurité automatisés.</t>
  </si>
  <si>
    <t>Des tests de sécurité de base sont intégrés dans certains pipelines</t>
  </si>
  <si>
    <t>Certains pipelines CI/CD intègrent des tests de sécurité applicative tels que l’analyse statique du code (SAST) ou l’analyse des dépendances (SCA).
Cependant, ces pratiques ne sont pas encore systématisées ou standardisées dans toute l’organisation.</t>
  </si>
  <si>
    <t>Utilisation initiale d’un WAF cloud avec règles OWASP Top 10</t>
  </si>
  <si>
    <t>Un pare-feu applicatif (WAF) est utilisé pour protéger certaines applications exposées sur Internet.
Les règles de base, comme celles couvrant les vulnérabilités OWASP Top 10, sont mises en place afin de réduire les risques d’attaques courantes.</t>
  </si>
  <si>
    <t>Gestion des secrets pour les applications</t>
  </si>
  <si>
    <t>Les informations sensibles utilisées par les applications (mots de passe, clés API, tokens) sont stockées dans une solution de gestion de secrets dédiée.
Cela évite leur stockage dans le code source ou les configurations non sécurisées.</t>
  </si>
  <si>
    <t>Tests de sécurité systématiques dans les pipelines CI/CD</t>
  </si>
  <si>
    <t>Les vulnérabilités critiques bloquent les déploiements</t>
  </si>
  <si>
    <t>Les pipelines CI/CD bloquent automatiquement les déploiements lorsqu’une vulnérabilité critique ou élevée est détectée.
Cela permet d’éviter l’introduction de failles importantes dans les environnements de production.</t>
  </si>
  <si>
    <t>Les applications en production sont évaluées en continu</t>
  </si>
  <si>
    <t>Les applications en production sont analysées régulièrement afin de détecter des erreurs de configuration ou des failles de sécurité.
Ces contrôles peuvent inclure la vérification de l’utilisation du WAF, de l’authentification des API et de l’exposition des ressources.</t>
  </si>
  <si>
    <t>Tests de sécurité avancés sur les applications cloud</t>
  </si>
  <si>
    <t>Les applications cloud en production font l’objet de tests de sécurité avancés, réalisés par une équipe de type red team ou via des tests d’intrusion.
Ces tests utilisent des techniques spécifiques au cloud pour identifier des failles dans l’architecture ou la configuration.</t>
  </si>
  <si>
    <t>Tests de sécurité des infrastructures as code</t>
  </si>
  <si>
    <t>Les modèles d’infrastructure as code (IaC) sont analysés automatiquement afin de détecter les erreurs de configuration ou les violations de politiques de sécurité avant leur déploiement en production.</t>
  </si>
  <si>
    <t>Les fournisseurs cloud font l’objet d’une évaluation des risques</t>
  </si>
  <si>
    <t>Une équipe sécurité ou gestion des risques réalise une évaluation des risques avant l’autorisation d’utilisation d’un nouveau fournisseur cloud.
Un registre des fournisseurs approuvés est maintenu. Le processus peut encore être partiellement informel, mais il doit être documenté.</t>
  </si>
  <si>
    <t>Le registre des fournisseurs cloud indique les types de données autorisés</t>
  </si>
  <si>
    <t>Le registre des fournisseurs cloud précise quels types ou niveaux de classification de données peuvent être utilisés avec chaque fournisseur.
Cela permet d’aligner le niveau de risque du fournisseur avec la sensibilité des données traitées.</t>
  </si>
  <si>
    <t>Le registre cloud inclut les niveaux de risque et les autorisations des services</t>
  </si>
  <si>
    <t>Le registre des fournisseurs cloud inclut les services proposés, leur niveau de risque et les classifications de données autorisées.
Par exemple, certains services peuvent être autorisés uniquement pour des données non sensibles.</t>
  </si>
  <si>
    <t>La sécurité réalise des analyses de risques sur les déploiements cloud en production</t>
  </si>
  <si>
    <t>L’équipe sécurité réalise des évaluations de risques documentées pour les déploiements cloud en production.
Ces évaluations sont réalisées régulièrement (par exemple chaque année) ou lors de changements majeurs dans l’architecture ou l’application.</t>
  </si>
  <si>
    <t>Un processus formel est utilisé pour évaluer les risques des déploiements cloud</t>
  </si>
  <si>
    <t>L’organisation utilise un processus formel et des critères définis pour évaluer les risques des déploiements cloud avant leur mise en production.
Les analyses de risques sont mises à jour régulièrement et des plans de remédiation sont définis pour les risques identifiés.</t>
  </si>
  <si>
    <t>Les risques des fournisseurs cloud sont évalués en continu</t>
  </si>
  <si>
    <t>Les risques associés aux fournisseurs cloud et à leurs services sont évalués régulièrement afin de prendre en compte les nouvelles fonctionnalités ou les changements de services.
Les services peuvent être autorisés ou restreints selon le type de données qu’ils traitent.</t>
  </si>
  <si>
    <t>Autoscaling multi-zones de disponibilité utilisé</t>
  </si>
  <si>
    <t>Les ressources de calcul sont déployées dans plusieurs zones de disponibilité grâce à l’autoscaling.
Cela permet d’améliorer la résilience du système en cas de panne d’une zone ou d’une ressource.</t>
  </si>
  <si>
    <t>Les machines virtuelles et bases de données disposent de snapshots récents</t>
  </si>
  <si>
    <t>Des snapshots ou sauvegardes réguliers sont réalisés pour les machines virtuelles et les bases de données.
Cela permet de restaurer rapidement les systèmes et de limiter les pertes de données en cas d’incident.</t>
  </si>
  <si>
    <t>Cycle de vie ou sauvegardes du stockage d’objets configurés</t>
  </si>
  <si>
    <t>Les données stockées dans les services de stockage d’objets utilisent des politiques de cycle de vie ou des sauvegardes automatiques.
Cela permet d’assurer la conservation et la récupération des données importantes en cas d’incident.</t>
  </si>
  <si>
    <t>La majorité des charges de calcul utilisent l’autoscaling ou le serverless</t>
  </si>
  <si>
    <t>La plupart des charges de travail utilisent des mécanismes d’autoscaling ou des architectures serverless.
Ces approches cloud-native améliorent la résilience et l’adaptation automatique aux variations de charge.</t>
  </si>
  <si>
    <t>Les données critiques sont accessibles dans au moins deux régions</t>
  </si>
  <si>
    <t>Les données critiques, notamment dans les bases de données ou le stockage d’objets, sont répliquées dans plusieurs régions cloud.
Cela permet d’assurer la continuité d’activité en cas d’indisponibilité d’une région.</t>
  </si>
  <si>
    <t>Tous les déploiements en production utilisent l’infrastructure as code</t>
  </si>
  <si>
    <t>Les infrastructures de production sont entièrement déployées et gérées à l’aide d’outils d’infrastructure as code.
Cela garantit des déploiements cohérents, reproductibles et facilite la reconstruction rapide des environnements.</t>
  </si>
  <si>
    <t>Le chaos engineering est mis en œuvre</t>
  </si>
  <si>
    <t>Des tests de résilience sont réalisés en introduisant volontairement des pannes contrôlées dans le système.
Cette approche permet de vérifier la capacité des systèmes à se rétablir automatiquement et à maintenir la continuité des services.</t>
  </si>
  <si>
    <t>La conformité de base est évaluée manuellement</t>
  </si>
  <si>
    <t>Les déploiements cloud sont évalués pour vérifier leur conformité aux exigences réglementaires ou internes.
L’évaluation repose principalement sur des vérifications manuelles, par exemple à l’aide de checklists, éventuellement complétées par certains outils de sécurité.</t>
  </si>
  <si>
    <t>Les fournisseurs et services cloud autorisés pour les données réglementées sont définis</t>
  </si>
  <si>
    <t>L’organisation maintient une liste des fournisseurs et services cloud autorisés pour traiter certains types de données réglementées.
Cette liste précise les exigences de conformité applicables et les conditions d’utilisation associées.</t>
  </si>
  <si>
    <t>Les déploiements sont évalués pour la conformité avant mise en production</t>
  </si>
  <si>
    <t>Les déploiements concernés par des exigences de conformité sont évalués avant leur mise en production et de manière périodique par la suite.
Ces évaluations peuvent utiliser des outils automatisés, mais l’approbation finale reste généralement manuelle.</t>
  </si>
  <si>
    <t>La conformité technique est évaluée en continu avec des outils automatisés</t>
  </si>
  <si>
    <t>Les configurations cloud sont analysées automatiquement afin de vérifier leur conformité avec les standards et réglementations applicables.
Ces contrôles sont généralement réalisés à l’aide d’outils de sécurité ou de conformité cloud.</t>
  </si>
  <si>
    <t>Des garde-fous préventifs sont mis en place pour la conformité</t>
  </si>
  <si>
    <t>Des règles préventives empêchent la mise en place de configurations non conformes dans les environnements cloud.
Par exemple, certaines politiques peuvent bloquer l’utilisation de services ou de régions non autorisés.</t>
  </si>
  <si>
    <t>Le reporting de conformité est automatisé et centralisé</t>
  </si>
  <si>
    <t>Des tableaux de bord centralisés permettent de suivre l’état de conformité des environnements cloud.
Les rapports et les preuves de conformité sont générés automatiquement et consolidés à l’échelle de l’organisation.</t>
  </si>
  <si>
    <t>Une équipe de réponse aux incidents cloud est désignée</t>
  </si>
  <si>
    <t>Une équipe ou un service est chargé de répondre aux incidents de sécurité dans les environnements cloud.
Les procédures de réponse aux incidents sont documentées et adaptées aux spécificités du cloud, même si elles restent principalement manuelles.</t>
  </si>
  <si>
    <t>Des playbooks de réponse aux incidents cloud sont documentés</t>
  </si>
  <si>
    <t xml:space="preserve">Des playbooks documentent les procédures de réponse pour les principaux types d’incidents cloud.
Ces playbooks peuvent couvrir des situations comme l’exposition de données, la compromission d’identifiants ou l’accès non autorisé à des ressources cloud.
</t>
  </si>
  <si>
    <t>Les équipes de réponse aux incidents ont un accès en lecture aux déploiements cloud</t>
  </si>
  <si>
    <t>Les équipes de réponse aux incidents disposent au minimum d’un accès en lecture aux ressources et configurations des environnements cloud.
Cela leur permet d’analyser les incidents en utilisant les journaux, la configuration des ressources et le contexte technique des déploiements.</t>
  </si>
  <si>
    <t>Automatisation de la détection et de la réponse aux incidents cloud</t>
  </si>
  <si>
    <t>Des outils permettent d’automatiser la détection, l’enrichissement et la priorisation des incidents de sécurité dans le cloud.
Ces solutions peuvent inclure des plateformes CDR, SOAR ou d’autres outils d’automatisation pour accélérer l’analyse et la réponse aux incidents.</t>
  </si>
  <si>
    <t>Outils d’automatisation pour la réponse aux incidents</t>
  </si>
  <si>
    <t>Des outils ou scripts automatisés assistent les équipes dans les tâches de réponse aux incidents.
Ils peuvent par exemple collecter des informations, créer des snapshots, isoler des ressources compromises ou révoquer des identifiants.</t>
  </si>
  <si>
    <t>Les équipes peuvent escalader vers un accès administrateur complet</t>
  </si>
  <si>
    <t>En cas d’incident majeur, les équipes de réponse aux incidents peuvent obtenir temporairement un accès administrateur complet aux environnements cloud.
Ce type d’accès doit être contrôlé par un mécanisme sécurisé, avec authentification forte et traçabilité</t>
  </si>
  <si>
    <t>Remédiation automatique des incidents</t>
  </si>
  <si>
    <t>Certaines actions de remédiation sont automatisées afin de corriger rapidement des incidents connus.
Par exemple, une mauvaise configuration de sécurité peut être détectée et corrigée automatiquement pour limiter les risques.</t>
  </si>
  <si>
    <t>Les équipes cloud et développement participent à la réponse aux incidents</t>
  </si>
  <si>
    <t>Les équipes de développement et d’exploitation participent activement à la gestion des incidents affectant leurs environnements cloud.
Des outils collaboratifs ou des workflows automatisés facilitent la communication et l’escalade des incidents.</t>
  </si>
  <si>
    <t>Non applicable</t>
  </si>
  <si>
    <t>Le contrôle ne s’applique pas au contexte, à l’architecture ou aux technologies utilisées par l’organisation.
Il est donc exclu de l’évaluation de maturité pour cet environnement.</t>
  </si>
  <si>
    <t xml:space="preserve">Niveau de maturité </t>
  </si>
  <si>
    <t>NA</t>
  </si>
  <si>
    <t>Libellé</t>
  </si>
  <si>
    <t xml:space="preserve">Libellé </t>
  </si>
  <si>
    <t>Signfication</t>
  </si>
  <si>
    <t>La sécurité est gérée manuellement et de manière non structurée.
Peu d’utilisation des fonctionnalités avancées du cloud et IAM peu organisé.</t>
  </si>
  <si>
    <t>Des politiques de sécurité existent, mais elles sont appliquées manuellement et de façon incohérente selon les équipes.
L’automatisation et le MFA sont encore limités.</t>
  </si>
  <si>
    <t>Les politiques de sécurité sont centralisées et standardisées.
Certaines automatisations apparaissent et des outils de sécurité cloud commencent à être utilisés.</t>
  </si>
  <si>
    <t>La sécurité est centralisée et largement automatisée.
Elle est intégrée dans l’Infrastructure as Code et les pipelines de déploiement.</t>
  </si>
  <si>
    <t>La sécurité est entièrement intégrée, automatisée et pilotée par des plateformes centralisées.
Les contrôles sont cohérents et appliqués à grande échelle.</t>
  </si>
  <si>
    <t>Étiquettes de lignes</t>
  </si>
  <si>
    <t>Total général</t>
  </si>
  <si>
    <t>Max. de Niveau de maturité</t>
  </si>
  <si>
    <t>Somme de Niveau de maturité</t>
  </si>
  <si>
    <t>Nombre de ID</t>
  </si>
  <si>
    <r>
      <t xml:space="preserve"> </t>
    </r>
    <r>
      <rPr>
        <b/>
        <sz val="10"/>
        <color rgb="FF000000"/>
        <rFont val="Helvetica Neue"/>
      </rPr>
      <t xml:space="preserve">Gouvernance </t>
    </r>
  </si>
  <si>
    <t xml:space="preserve">Max. de Niveau de maturité </t>
  </si>
  <si>
    <t xml:space="preserve">Gestion organisationnelle </t>
  </si>
  <si>
    <t>Sécurité réseaux</t>
  </si>
  <si>
    <t>Sécurité des données</t>
  </si>
  <si>
    <t>Sécurité des Applications</t>
  </si>
  <si>
    <t>Analyse des risques</t>
  </si>
  <si>
    <t>Conformité</t>
  </si>
  <si>
    <t>Gestion des incidents de sécurité</t>
  </si>
  <si>
    <t>Gestion organisationnelle</t>
  </si>
  <si>
    <t>Sécurité des Données</t>
  </si>
  <si>
    <t>Analyse des Risques</t>
  </si>
  <si>
    <t xml:space="preserve">Réslience </t>
  </si>
  <si>
    <t>Gestion des incidents</t>
  </si>
  <si>
    <t>Nom du contrôle</t>
  </si>
  <si>
    <t>Description du contrôle</t>
  </si>
  <si>
    <t>Niveau 1</t>
  </si>
  <si>
    <t>Niveau 2</t>
  </si>
  <si>
    <t>Niveau 3</t>
  </si>
  <si>
    <t>Niveau 4</t>
  </si>
  <si>
    <t>Niveau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</si>
</sst>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indexed="8"/>
      <name val="Helvetica Neue"/>
    </font>
    <font>
      <sz val="10"/>
      <name val="Helvetica Neue"/>
      <family val="2"/>
    </font>
    <font>
      <sz val="10"/>
      <color indexed="8"/>
      <name val="Helvetica Neue"/>
      <family val="2"/>
    </font>
    <font>
      <sz val="6"/>
      <name val="Yu Gothic"/>
      <family val="2"/>
      <charset val="128"/>
    </font>
    <font>
      <sz val="11"/>
      <color indexed="8"/>
      <name val="Roboto Light"/>
    </font>
    <font>
      <b/>
      <sz val="11"/>
      <color indexed="8"/>
      <name val="Roboto"/>
    </font>
    <font>
      <sz val="11"/>
      <color indexed="8"/>
      <name val="Arial Nova Light Italic"/>
    </font>
    <font>
      <sz val="11"/>
      <name val="Arial Nova Light Italic"/>
    </font>
    <font>
      <sz val="11"/>
      <color indexed="8"/>
      <name val="Arial Nova Light"/>
      <family val="2"/>
    </font>
    <font>
      <sz val="11"/>
      <color rgb="FF000000"/>
      <name val="Arial Nova Light"/>
      <family val="2"/>
    </font>
    <font>
      <b/>
      <sz val="11"/>
      <color indexed="8"/>
      <name val="Arial Nova"/>
      <family val="2"/>
    </font>
    <font>
      <b/>
      <sz val="10"/>
      <name val="Arial Nova Light"/>
      <family val="2"/>
    </font>
    <font>
      <sz val="12"/>
      <name val="Arial Nova Light"/>
      <family val="2"/>
    </font>
    <font>
      <b/>
      <sz val="12"/>
      <name val="Arial Nova Light"/>
      <family val="2"/>
    </font>
    <font>
      <sz val="16"/>
      <name val="Arial Nova Light"/>
      <family val="2"/>
    </font>
    <font>
      <b/>
      <sz val="10"/>
      <name val="Arial Nova"/>
      <family val="2"/>
    </font>
    <font>
      <b/>
      <sz val="16"/>
      <name val="Arial Nova"/>
      <family val="2"/>
    </font>
    <font>
      <b/>
      <sz val="20"/>
      <name val="Arial Nova"/>
      <family val="2"/>
    </font>
    <font>
      <b/>
      <sz val="12"/>
      <name val="Arial Nova"/>
      <family val="2"/>
    </font>
    <font>
      <i/>
      <sz val="11"/>
      <name val="Arial Nova Light"/>
      <family val="2"/>
    </font>
    <font>
      <sz val="11"/>
      <name val="Arial Nova Light"/>
      <family val="2"/>
    </font>
    <font>
      <sz val="10"/>
      <name val="Arial Nova"/>
      <family val="2"/>
    </font>
    <font>
      <b/>
      <sz val="10"/>
      <color indexed="8"/>
      <name val="Helvetica Neue"/>
    </font>
    <font>
      <b/>
      <sz val="10"/>
      <color rgb="FF000000"/>
      <name val="Helvetica Neue"/>
    </font>
    <font>
      <b/>
      <sz val="16"/>
      <color theme="0"/>
      <name val="Calibri"/>
      <family val="2"/>
    </font>
    <font>
      <b/>
      <sz val="11"/>
      <color indexed="8"/>
      <name val="Arial Nova "/>
    </font>
    <font>
      <b/>
      <sz val="11"/>
      <color rgb="FF000000"/>
      <name val="Arial Nova"/>
      <family val="2"/>
    </font>
    <font>
      <b/>
      <sz val="12"/>
      <color rgb="FF000000"/>
      <name val="Helvetica Neue"/>
    </font>
    <font>
      <sz val="12"/>
      <color rgb="FF000000"/>
      <name val="Helvetica Neue"/>
    </font>
    <font>
      <b/>
      <sz val="12"/>
      <color indexed="8"/>
      <name val="Helvetica Neue"/>
    </font>
    <font>
      <sz val="9"/>
      <color indexed="8"/>
      <name val="Helvetica Neue"/>
    </font>
  </fonts>
  <fills count="13">
    <fill>
      <patternFill patternType="none"/>
    </fill>
    <fill>
      <patternFill patternType="gray125"/>
    </fill>
    <fill>
      <patternFill patternType="solid">
        <fgColor rgb="FFEAEAEA"/>
        <bgColor indexed="64"/>
      </patternFill>
    </fill>
    <fill>
      <patternFill patternType="solid">
        <fgColor theme="0" tint="-4.9989318521683403E-2"/>
        <bgColor indexed="64"/>
      </patternFill>
    </fill>
    <fill>
      <patternFill patternType="solid">
        <fgColor rgb="FF008796"/>
        <bgColor indexed="64"/>
      </patternFill>
    </fill>
    <fill>
      <patternFill patternType="solid">
        <fgColor rgb="FFFF000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rgb="FF00B050"/>
        <bgColor indexed="64"/>
      </patternFill>
    </fill>
    <fill>
      <patternFill patternType="solid">
        <fgColor theme="3" tint="0.59999389629810485"/>
        <bgColor indexed="64"/>
      </patternFill>
    </fill>
    <fill>
      <patternFill patternType="solid">
        <fgColor theme="1"/>
        <bgColor indexed="64"/>
      </patternFill>
    </fill>
    <fill>
      <patternFill patternType="solid">
        <fgColor theme="2"/>
        <bgColor indexed="64"/>
      </patternFill>
    </fill>
  </fills>
  <borders count="3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1"/>
      </left>
      <right style="medium">
        <color indexed="11"/>
      </right>
      <top style="thin">
        <color indexed="10"/>
      </top>
      <bottom style="thin">
        <color indexed="10"/>
      </bottom>
      <diagonal/>
    </border>
    <border>
      <left/>
      <right style="thin">
        <color indexed="10"/>
      </right>
      <top style="thin">
        <color indexed="10"/>
      </top>
      <bottom style="thin">
        <color indexed="11"/>
      </bottom>
      <diagonal/>
    </border>
    <border>
      <left/>
      <right style="thin">
        <color indexed="10"/>
      </right>
      <top style="thin">
        <color indexed="11"/>
      </top>
      <bottom style="thin">
        <color indexed="10"/>
      </bottom>
      <diagonal/>
    </border>
    <border>
      <left style="thin">
        <color indexed="10"/>
      </left>
      <right style="medium">
        <color theme="1"/>
      </right>
      <top style="thin">
        <color indexed="10"/>
      </top>
      <bottom style="thin">
        <color indexed="11"/>
      </bottom>
      <diagonal/>
    </border>
    <border>
      <left style="thin">
        <color indexed="11"/>
      </left>
      <right style="medium">
        <color theme="1"/>
      </right>
      <top style="thin">
        <color indexed="11"/>
      </top>
      <bottom style="thin">
        <color indexed="10"/>
      </bottom>
      <diagonal/>
    </border>
    <border>
      <left style="thin">
        <color indexed="11"/>
      </left>
      <right style="medium">
        <color theme="1"/>
      </right>
      <top style="thin">
        <color indexed="10"/>
      </top>
      <bottom style="thin">
        <color indexed="10"/>
      </bottom>
      <diagonal/>
    </border>
    <border>
      <left/>
      <right style="thin">
        <color indexed="64"/>
      </right>
      <top style="thin">
        <color indexed="10"/>
      </top>
      <bottom style="thin">
        <color indexed="10"/>
      </bottom>
      <diagonal/>
    </border>
    <border>
      <left style="thin">
        <color indexed="64"/>
      </left>
      <right style="thin">
        <color indexed="64"/>
      </right>
      <top style="thin">
        <color indexed="10"/>
      </top>
      <bottom style="thin">
        <color indexed="10"/>
      </bottom>
      <diagonal/>
    </border>
    <border>
      <left style="medium">
        <color indexed="64"/>
      </left>
      <right style="thin">
        <color indexed="64"/>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applyNumberFormat="0" applyFill="0" applyBorder="0" applyProtection="0">
      <alignment vertical="top" wrapText="1"/>
    </xf>
  </cellStyleXfs>
  <cellXfs count="100">
    <xf numFmtId="0" fontId="0" fillId="0" borderId="0" xfId="0">
      <alignment vertical="top" wrapText="1"/>
    </xf>
    <xf numFmtId="0" fontId="1" fillId="0" borderId="0" xfId="0" applyNumberFormat="1" applyFont="1">
      <alignment vertical="top" wrapText="1"/>
    </xf>
    <xf numFmtId="0" fontId="1" fillId="0" borderId="0" xfId="0" applyFont="1">
      <alignment vertical="top" wrapText="1"/>
    </xf>
    <xf numFmtId="0" fontId="1" fillId="0" borderId="0" xfId="0" applyNumberFormat="1" applyFont="1" applyFill="1">
      <alignment vertical="top" wrapText="1"/>
    </xf>
    <xf numFmtId="0" fontId="2" fillId="0" borderId="0" xfId="0" applyFont="1">
      <alignment vertical="top" wrapText="1"/>
    </xf>
    <xf numFmtId="0" fontId="0" fillId="0" borderId="0" xfId="0" applyFill="1">
      <alignment vertical="top" wrapText="1"/>
    </xf>
    <xf numFmtId="0" fontId="4" fillId="0" borderId="0" xfId="0" applyFont="1">
      <alignment vertical="top" wrapText="1"/>
    </xf>
    <xf numFmtId="0" fontId="5" fillId="0" borderId="0" xfId="0" applyFont="1">
      <alignment vertical="top" wrapText="1"/>
    </xf>
    <xf numFmtId="0" fontId="8" fillId="0" borderId="0" xfId="0" applyFont="1">
      <alignment vertical="top" wrapText="1"/>
    </xf>
    <xf numFmtId="0" fontId="11" fillId="0" borderId="2" xfId="0" applyFont="1" applyFill="1" applyBorder="1" applyAlignment="1">
      <alignment vertical="center" wrapText="1"/>
    </xf>
    <xf numFmtId="0" fontId="12" fillId="0" borderId="16" xfId="0" applyFont="1" applyBorder="1" applyAlignment="1">
      <alignment vertical="center" wrapText="1"/>
    </xf>
    <xf numFmtId="0" fontId="11" fillId="0" borderId="9" xfId="0" applyFont="1" applyFill="1" applyBorder="1" applyAlignment="1">
      <alignment vertical="center" wrapText="1"/>
    </xf>
    <xf numFmtId="0" fontId="12" fillId="0" borderId="10" xfId="0" applyFont="1" applyBorder="1" applyAlignment="1">
      <alignment vertical="center" wrapText="1"/>
    </xf>
    <xf numFmtId="49" fontId="12" fillId="0" borderId="7" xfId="0" applyNumberFormat="1" applyFont="1" applyFill="1" applyBorder="1" applyAlignment="1">
      <alignment vertical="center" wrapText="1"/>
    </xf>
    <xf numFmtId="49" fontId="12" fillId="0" borderId="8" xfId="0" applyNumberFormat="1" applyFont="1" applyFill="1" applyBorder="1" applyAlignment="1">
      <alignment vertical="center" wrapText="1"/>
    </xf>
    <xf numFmtId="49" fontId="13" fillId="0" borderId="6" xfId="0" applyNumberFormat="1" applyFont="1" applyFill="1" applyBorder="1" applyAlignment="1">
      <alignment horizontal="left" vertical="center" wrapText="1"/>
    </xf>
    <xf numFmtId="49" fontId="18" fillId="0" borderId="14" xfId="0" applyNumberFormat="1" applyFont="1" applyBorder="1" applyAlignment="1">
      <alignment horizontal="center" vertical="center" wrapText="1"/>
    </xf>
    <xf numFmtId="49" fontId="18" fillId="0" borderId="3" xfId="0" applyNumberFormat="1" applyFont="1" applyBorder="1" applyAlignment="1">
      <alignment horizontal="center" vertical="center" wrapText="1"/>
    </xf>
    <xf numFmtId="49" fontId="19" fillId="0" borderId="10" xfId="0" applyNumberFormat="1" applyFont="1" applyBorder="1" applyAlignment="1">
      <alignment horizontal="center" vertical="center" wrapText="1"/>
    </xf>
    <xf numFmtId="49" fontId="19" fillId="0" borderId="11" xfId="0" applyNumberFormat="1" applyFont="1" applyBorder="1" applyAlignment="1">
      <alignment horizontal="center" vertical="center" wrapText="1"/>
    </xf>
    <xf numFmtId="49" fontId="20" fillId="0" borderId="7" xfId="0" applyNumberFormat="1" applyFont="1" applyFill="1" applyBorder="1" applyAlignment="1">
      <alignment vertical="center" wrapText="1"/>
    </xf>
    <xf numFmtId="49" fontId="20" fillId="0" borderId="20" xfId="0" applyNumberFormat="1" applyFont="1" applyFill="1" applyBorder="1" applyAlignment="1">
      <alignment vertical="center" wrapText="1"/>
    </xf>
    <xf numFmtId="49" fontId="20" fillId="0" borderId="19" xfId="0" applyNumberFormat="1" applyFont="1" applyFill="1" applyBorder="1" applyAlignment="1">
      <alignment vertical="center" wrapText="1"/>
    </xf>
    <xf numFmtId="49" fontId="20" fillId="0" borderId="18" xfId="0" applyNumberFormat="1" applyFont="1" applyFill="1" applyBorder="1" applyAlignment="1">
      <alignment vertical="center" wrapText="1"/>
    </xf>
    <xf numFmtId="49" fontId="20" fillId="0" borderId="12" xfId="0" applyNumberFormat="1" applyFont="1" applyFill="1" applyBorder="1" applyAlignment="1">
      <alignment vertical="center" wrapText="1"/>
    </xf>
    <xf numFmtId="49" fontId="20" fillId="0" borderId="8" xfId="0" applyNumberFormat="1" applyFont="1" applyFill="1" applyBorder="1" applyAlignment="1">
      <alignment vertical="center" wrapText="1"/>
    </xf>
    <xf numFmtId="49" fontId="20" fillId="0" borderId="5" xfId="0" applyNumberFormat="1" applyFont="1" applyFill="1" applyBorder="1" applyAlignment="1">
      <alignment vertical="center" wrapText="1"/>
    </xf>
    <xf numFmtId="49" fontId="20" fillId="0" borderId="1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4" xfId="0" applyNumberFormat="1" applyFont="1" applyFill="1" applyBorder="1" applyAlignment="1">
      <alignment horizontal="left" vertical="center" wrapText="1"/>
    </xf>
    <xf numFmtId="0" fontId="0" fillId="0" borderId="0" xfId="0" applyAlignment="1">
      <alignment horizontal="center" vertical="top" wrapText="1"/>
    </xf>
    <xf numFmtId="0" fontId="0" fillId="2" borderId="21" xfId="0" applyFill="1" applyBorder="1" applyAlignment="1">
      <alignment vertical="center" wrapText="1"/>
    </xf>
    <xf numFmtId="0" fontId="0" fillId="2" borderId="21" xfId="0" applyFill="1" applyBorder="1" applyAlignment="1">
      <alignment horizontal="left" vertical="center" wrapText="1"/>
    </xf>
    <xf numFmtId="0" fontId="0" fillId="0" borderId="21" xfId="0" applyBorder="1">
      <alignment vertical="top" wrapText="1"/>
    </xf>
    <xf numFmtId="0" fontId="22" fillId="5" borderId="21" xfId="0" applyFont="1" applyFill="1" applyBorder="1" applyAlignment="1">
      <alignment horizontal="center" vertical="center" wrapText="1"/>
    </xf>
    <xf numFmtId="0" fontId="22" fillId="6" borderId="21" xfId="0" applyFont="1" applyFill="1" applyBorder="1" applyAlignment="1">
      <alignment horizontal="center" vertical="center" wrapText="1"/>
    </xf>
    <xf numFmtId="0" fontId="22" fillId="7" borderId="21" xfId="0" applyFont="1" applyFill="1" applyBorder="1" applyAlignment="1">
      <alignment horizontal="center" vertical="center" wrapText="1"/>
    </xf>
    <xf numFmtId="0" fontId="22" fillId="8" borderId="21" xfId="0" applyFont="1" applyFill="1" applyBorder="1" applyAlignment="1">
      <alignment horizontal="center" vertical="center" wrapText="1"/>
    </xf>
    <xf numFmtId="0" fontId="22" fillId="9" borderId="21" xfId="0" applyFont="1" applyFill="1" applyBorder="1" applyAlignment="1">
      <alignment horizontal="center" vertical="center" wrapText="1"/>
    </xf>
    <xf numFmtId="0" fontId="23" fillId="10" borderId="21" xfId="0" applyFont="1" applyFill="1" applyBorder="1" applyAlignment="1">
      <alignment horizontal="center" vertical="center" wrapText="1"/>
    </xf>
    <xf numFmtId="0" fontId="15" fillId="12" borderId="1" xfId="0" applyFont="1" applyFill="1" applyBorder="1" applyAlignment="1">
      <alignment vertical="center" wrapText="1"/>
    </xf>
    <xf numFmtId="49" fontId="16" fillId="12" borderId="15" xfId="0" applyNumberFormat="1" applyFont="1" applyFill="1" applyBorder="1" applyAlignment="1">
      <alignment horizontal="center" vertical="center" wrapText="1"/>
    </xf>
    <xf numFmtId="49" fontId="16" fillId="12" borderId="13" xfId="0" applyNumberFormat="1" applyFont="1" applyFill="1" applyBorder="1" applyAlignment="1">
      <alignment horizontal="center" vertical="center" wrapText="1"/>
    </xf>
    <xf numFmtId="49" fontId="16" fillId="12" borderId="1" xfId="0" applyNumberFormat="1" applyFont="1" applyFill="1" applyBorder="1" applyAlignment="1">
      <alignment horizontal="center" vertical="center" wrapText="1"/>
    </xf>
    <xf numFmtId="0" fontId="10" fillId="4" borderId="21" xfId="0" applyFont="1" applyFill="1" applyBorder="1" applyAlignment="1">
      <alignment horizontal="center" vertical="center" wrapText="1"/>
    </xf>
    <xf numFmtId="0" fontId="23" fillId="4" borderId="21"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0" borderId="21" xfId="0" applyFont="1" applyBorder="1" applyAlignment="1">
      <alignment vertical="center" wrapText="1"/>
    </xf>
    <xf numFmtId="0" fontId="0" fillId="0" borderId="21" xfId="0" applyBorder="1" applyAlignment="1">
      <alignment horizontal="center" vertical="center" wrapText="1"/>
    </xf>
    <xf numFmtId="0" fontId="8" fillId="0" borderId="21" xfId="0" applyFont="1" applyBorder="1">
      <alignment vertical="top" wrapText="1"/>
    </xf>
    <xf numFmtId="0" fontId="8" fillId="0" borderId="21" xfId="0" applyFont="1" applyBorder="1" applyAlignment="1">
      <alignment horizontal="left" vertical="center" wrapText="1"/>
    </xf>
    <xf numFmtId="0" fontId="9" fillId="0" borderId="21" xfId="0" applyFont="1" applyBorder="1" applyAlignment="1">
      <alignment horizontal="center" vertical="center" wrapText="1"/>
    </xf>
    <xf numFmtId="0" fontId="9" fillId="0" borderId="21" xfId="0" applyFont="1" applyBorder="1" applyAlignment="1">
      <alignment horizontal="left" vertical="center" wrapText="1"/>
    </xf>
    <xf numFmtId="0" fontId="8" fillId="0" borderId="21" xfId="0" applyFont="1" applyBorder="1" applyAlignment="1">
      <alignment horizontal="left" vertical="top" wrapText="1"/>
    </xf>
    <xf numFmtId="0" fontId="8" fillId="0" borderId="21" xfId="0" applyFont="1" applyFill="1" applyBorder="1" applyAlignment="1">
      <alignment horizontal="center" vertical="center" wrapText="1"/>
    </xf>
    <xf numFmtId="0" fontId="8" fillId="0" borderId="21" xfId="0" applyFont="1" applyFill="1" applyBorder="1" applyAlignment="1">
      <alignment horizontal="left" vertical="center" wrapText="1"/>
    </xf>
    <xf numFmtId="0" fontId="25" fillId="4" borderId="21"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4" fillId="0" borderId="21" xfId="0" applyFont="1" applyBorder="1" applyAlignment="1">
      <alignment horizontal="center" vertical="center" wrapText="1"/>
    </xf>
    <xf numFmtId="0" fontId="26" fillId="4" borderId="21" xfId="0" applyFont="1" applyFill="1" applyBorder="1" applyAlignment="1">
      <alignment horizontal="center" vertical="center" wrapText="1"/>
    </xf>
    <xf numFmtId="0" fontId="0" fillId="0" borderId="21" xfId="0" applyBorder="1" applyAlignment="1">
      <alignment horizontal="left" vertical="top" wrapText="1"/>
    </xf>
    <xf numFmtId="0" fontId="0" fillId="0" borderId="21" xfId="0" applyBorder="1" applyAlignment="1">
      <alignment vertical="center" wrapText="1"/>
    </xf>
    <xf numFmtId="0" fontId="0" fillId="0" borderId="21" xfId="0" applyBorder="1" applyAlignment="1">
      <alignment horizontal="left" vertical="center" wrapText="1"/>
    </xf>
    <xf numFmtId="0" fontId="10" fillId="4" borderId="24" xfId="0" applyFont="1" applyFill="1" applyBorder="1" applyAlignment="1">
      <alignment horizontal="center" vertical="center" wrapText="1"/>
    </xf>
    <xf numFmtId="0" fontId="0" fillId="0" borderId="21" xfId="0" applyFill="1" applyBorder="1">
      <alignment vertical="top" wrapText="1"/>
    </xf>
    <xf numFmtId="0" fontId="4" fillId="0" borderId="21" xfId="0" applyFont="1" applyBorder="1">
      <alignment vertical="top" wrapText="1"/>
    </xf>
    <xf numFmtId="0" fontId="4" fillId="0" borderId="21" xfId="0" applyFont="1" applyBorder="1" applyAlignment="1">
      <alignment vertical="center" wrapText="1"/>
    </xf>
    <xf numFmtId="0" fontId="0" fillId="0" borderId="25" xfId="0" pivotButton="1" applyBorder="1">
      <alignment vertical="top" wrapText="1"/>
    </xf>
    <xf numFmtId="0" fontId="0" fillId="0" borderId="27" xfId="0" applyBorder="1">
      <alignment vertical="top" wrapText="1"/>
    </xf>
    <xf numFmtId="0" fontId="0" fillId="0" borderId="25" xfId="0" applyBorder="1" applyAlignment="1">
      <alignment horizontal="left" vertical="top" wrapText="1"/>
    </xf>
    <xf numFmtId="0" fontId="0" fillId="0" borderId="27" xfId="0" applyNumberFormat="1" applyBorder="1">
      <alignment vertical="top" wrapText="1"/>
    </xf>
    <xf numFmtId="0" fontId="0" fillId="0" borderId="26" xfId="0" applyBorder="1" applyAlignment="1">
      <alignment horizontal="left" vertical="top" wrapText="1"/>
    </xf>
    <xf numFmtId="0" fontId="0" fillId="0" borderId="28" xfId="0" applyNumberFormat="1" applyBorder="1">
      <alignment vertical="top" wrapText="1"/>
    </xf>
    <xf numFmtId="0" fontId="0" fillId="0" borderId="30" xfId="0" applyBorder="1" applyAlignment="1">
      <alignment horizontal="left" vertical="top" wrapText="1"/>
    </xf>
    <xf numFmtId="0" fontId="0" fillId="0" borderId="29" xfId="0" applyNumberFormat="1" applyBorder="1">
      <alignment vertical="top" wrapText="1"/>
    </xf>
    <xf numFmtId="0" fontId="28" fillId="0" borderId="0" xfId="0" applyFont="1" applyAlignment="1">
      <alignment vertical="center" wrapText="1"/>
    </xf>
    <xf numFmtId="0" fontId="29" fillId="0" borderId="0" xfId="0" applyFont="1">
      <alignment vertical="top" wrapText="1"/>
    </xf>
    <xf numFmtId="0" fontId="27" fillId="0" borderId="0" xfId="0" applyFont="1" applyAlignment="1">
      <alignment vertical="center" wrapText="1"/>
    </xf>
    <xf numFmtId="0" fontId="0" fillId="0" borderId="0" xfId="0" applyBorder="1">
      <alignment vertical="top" wrapText="1"/>
    </xf>
    <xf numFmtId="0" fontId="22" fillId="0" borderId="21" xfId="0" applyFont="1" applyBorder="1" applyAlignment="1">
      <alignment horizontal="left" vertical="center" wrapText="1"/>
    </xf>
    <xf numFmtId="0" fontId="22" fillId="0" borderId="21" xfId="0" applyFont="1" applyBorder="1" applyAlignment="1">
      <alignment horizontal="center" vertical="center" wrapText="1"/>
    </xf>
    <xf numFmtId="0" fontId="30" fillId="0" borderId="21" xfId="0" applyFont="1" applyBorder="1" applyAlignment="1">
      <alignment horizontal="center" vertical="center" wrapText="1"/>
    </xf>
    <xf numFmtId="0" fontId="0" fillId="0" borderId="0" xfId="0" applyAlignment="1">
      <alignment horizontal="center" vertical="center" wrapText="1"/>
    </xf>
    <xf numFmtId="0" fontId="22" fillId="0" borderId="21" xfId="0" applyFont="1" applyBorder="1" applyAlignment="1">
      <alignment horizontal="left" vertical="top" wrapText="1"/>
    </xf>
    <xf numFmtId="0" fontId="7" fillId="3" borderId="0" xfId="0" applyNumberFormat="1" applyFont="1" applyFill="1" applyAlignment="1">
      <alignment horizontal="left" vertical="top" wrapText="1"/>
    </xf>
    <xf numFmtId="0" fontId="17" fillId="4" borderId="0" xfId="0" applyNumberFormat="1" applyFont="1" applyFill="1" applyAlignment="1">
      <alignment horizontal="center" vertical="center" textRotation="255" wrapText="1"/>
    </xf>
    <xf numFmtId="0" fontId="21" fillId="4" borderId="0" xfId="0" applyNumberFormat="1" applyFont="1" applyFill="1" applyAlignment="1">
      <alignment horizontal="center" vertical="center" textRotation="255" wrapText="1"/>
    </xf>
    <xf numFmtId="0" fontId="17" fillId="4" borderId="6"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4" fillId="0" borderId="7" xfId="0" applyNumberFormat="1" applyFont="1" applyBorder="1" applyAlignment="1">
      <alignment horizontal="center" vertical="center" wrapText="1"/>
    </xf>
    <xf numFmtId="49" fontId="17" fillId="4" borderId="6" xfId="0" applyNumberFormat="1" applyFont="1" applyFill="1" applyBorder="1" applyAlignment="1">
      <alignment horizontal="center" vertical="center" wrapText="1"/>
    </xf>
    <xf numFmtId="49" fontId="17" fillId="4" borderId="7" xfId="0" applyNumberFormat="1" applyFont="1" applyFill="1" applyBorder="1" applyAlignment="1">
      <alignment horizontal="center" vertical="center" wrapText="1"/>
    </xf>
    <xf numFmtId="49" fontId="17" fillId="4" borderId="8" xfId="0" applyNumberFormat="1" applyFont="1" applyFill="1" applyBorder="1" applyAlignment="1">
      <alignment horizontal="center" vertical="center" wrapText="1"/>
    </xf>
    <xf numFmtId="49" fontId="14" fillId="0" borderId="6" xfId="0" applyNumberFormat="1" applyFont="1" applyFill="1" applyBorder="1" applyAlignment="1">
      <alignment horizontal="center" vertical="center" wrapText="1"/>
    </xf>
    <xf numFmtId="49" fontId="14" fillId="0" borderId="7" xfId="0" applyNumberFormat="1" applyFont="1" applyFill="1" applyBorder="1" applyAlignment="1">
      <alignment horizontal="center" vertical="center" wrapText="1"/>
    </xf>
    <xf numFmtId="49" fontId="14" fillId="0" borderId="8" xfId="0" applyNumberFormat="1" applyFont="1" applyFill="1" applyBorder="1" applyAlignment="1">
      <alignment horizontal="center" vertical="center" wrapText="1"/>
    </xf>
    <xf numFmtId="0" fontId="24" fillId="11" borderId="22" xfId="0" applyFont="1" applyFill="1" applyBorder="1" applyAlignment="1">
      <alignment horizontal="center" vertical="center" wrapText="1"/>
    </xf>
    <xf numFmtId="0" fontId="24" fillId="11" borderId="23" xfId="0" applyFont="1" applyFill="1" applyBorder="1" applyAlignment="1">
      <alignment horizontal="center" vertical="center" wrapText="1"/>
    </xf>
    <xf numFmtId="0" fontId="6" fillId="3" borderId="0" xfId="0" applyFont="1" applyFill="1" applyAlignment="1">
      <alignment horizontal="left" vertical="top" wrapText="1"/>
    </xf>
  </cellXfs>
  <cellStyles count="1">
    <cellStyle name="Normal" xfId="0" builtinId="0"/>
  </cellStyles>
  <dxfs count="215">
    <dxf>
      <fill>
        <patternFill>
          <bgColor theme="6" tint="0.59996337778862885"/>
        </patternFill>
      </fill>
    </dxf>
    <dxf>
      <fill>
        <patternFill>
          <bgColor rgb="FF00B050"/>
        </patternFill>
      </fill>
    </dxf>
    <dxf>
      <fill>
        <patternFill>
          <bgColor theme="3" tint="0.59996337778862885"/>
        </patternFill>
      </fill>
    </dxf>
    <dxf>
      <fill>
        <patternFill>
          <bgColor rgb="FFFFFF00"/>
        </patternFill>
      </fill>
    </dxf>
    <dxf>
      <fill>
        <patternFill>
          <bgColor rgb="FFFF0000"/>
        </patternFill>
      </fill>
    </dxf>
    <dxf>
      <fill>
        <patternFill>
          <bgColor theme="8" tint="0.39994506668294322"/>
        </patternFill>
      </fill>
    </dxf>
    <dxf>
      <fill>
        <patternFill>
          <bgColor theme="8" tint="-0.24994659260841701"/>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theme="8" tint="-0.24994659260841701"/>
        </patternFill>
      </fill>
    </dxf>
    <dxf>
      <fill>
        <patternFill>
          <bgColor rgb="FF00B050"/>
        </patternFill>
      </fill>
    </dxf>
    <dxf>
      <fill>
        <patternFill>
          <bgColor theme="3" tint="0.59996337778862885"/>
        </patternFill>
      </fill>
    </dxf>
    <dxf>
      <fill>
        <patternFill>
          <bgColor theme="8" tint="0.39994506668294322"/>
        </patternFill>
      </fill>
    </dxf>
    <dxf>
      <fill>
        <patternFill>
          <bgColor rgb="FFFFFF00"/>
        </patternFill>
      </fill>
    </dxf>
    <dxf>
      <fill>
        <patternFill>
          <bgColor theme="6" tint="0.39994506668294322"/>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theme="3" tint="0.59996337778862885"/>
        </patternFill>
      </fill>
    </dxf>
    <dxf>
      <fill>
        <patternFill>
          <bgColor rgb="FF00B050"/>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rgb="FF00B050"/>
        </patternFill>
      </fill>
    </dxf>
    <dxf>
      <fill>
        <patternFill>
          <bgColor rgb="FFFF0000"/>
        </patternFill>
      </fill>
    </dxf>
    <dxf>
      <fill>
        <patternFill>
          <bgColor theme="6" tint="0.59996337778862885"/>
        </patternFill>
      </fill>
    </dxf>
    <dxf>
      <fill>
        <patternFill>
          <bgColor theme="3" tint="0.59996337778862885"/>
        </patternFill>
      </fill>
    </dxf>
    <dxf>
      <fill>
        <patternFill>
          <bgColor rgb="FFFFFF00"/>
        </patternFill>
      </fill>
    </dxf>
    <dxf>
      <fill>
        <patternFill>
          <bgColor theme="8" tint="0.39994506668294322"/>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theme="3" tint="0.59996337778862885"/>
        </patternFill>
      </fill>
    </dxf>
    <dxf>
      <fill>
        <patternFill>
          <bgColor rgb="FF00B050"/>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theme="8" tint="0.39994506668294322"/>
        </patternFill>
      </fill>
    </dxf>
    <dxf>
      <fill>
        <patternFill>
          <bgColor theme="6" tint="0.59996337778862885"/>
        </patternFill>
      </fill>
    </dxf>
    <dxf>
      <fill>
        <patternFill>
          <bgColor rgb="FF00B050"/>
        </patternFill>
      </fill>
    </dxf>
    <dxf>
      <fill>
        <patternFill>
          <bgColor theme="3" tint="0.59996337778862885"/>
        </patternFill>
      </fill>
    </dxf>
    <dxf>
      <fill>
        <patternFill>
          <bgColor rgb="FFFF0000"/>
        </patternFill>
      </fill>
    </dxf>
    <dxf>
      <fill>
        <patternFill>
          <bgColor rgb="FFFFFF00"/>
        </patternFill>
      </fill>
    </dxf>
    <dxf>
      <fill>
        <patternFill>
          <bgColor theme="8" tint="0.39994506668294322"/>
        </patternFill>
      </fill>
    </dxf>
    <dxf>
      <fill>
        <patternFill>
          <bgColor rgb="FFFF0000"/>
        </patternFill>
      </fill>
    </dxf>
    <dxf>
      <fill>
        <patternFill>
          <bgColor rgb="FFFFFF00"/>
        </patternFill>
      </fill>
    </dxf>
    <dxf>
      <fill>
        <patternFill>
          <bgColor theme="6" tint="0.59996337778862885"/>
        </patternFill>
      </fill>
    </dxf>
    <dxf>
      <fill>
        <patternFill>
          <bgColor theme="3" tint="0.59996337778862885"/>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theme="8" tint="0.39994506668294322"/>
        </patternFill>
      </fill>
    </dxf>
    <dxf>
      <fill>
        <patternFill>
          <bgColor rgb="FF00B050"/>
        </patternFill>
      </fill>
    </dxf>
    <dxf>
      <fill>
        <patternFill>
          <bgColor rgb="FFFFFF00"/>
        </patternFill>
      </fill>
    </dxf>
    <dxf>
      <fill>
        <patternFill>
          <bgColor theme="3" tint="0.59996337778862885"/>
        </patternFill>
      </fill>
    </dxf>
    <dxf>
      <fill>
        <patternFill>
          <bgColor rgb="FFFF0000"/>
        </patternFill>
      </fill>
    </dxf>
    <dxf>
      <fill>
        <patternFill>
          <bgColor theme="6" tint="0.59996337778862885"/>
        </patternFill>
      </fill>
    </dxf>
    <dxf>
      <fill>
        <patternFill>
          <bgColor theme="8" tint="-0.24994659260841701"/>
        </patternFill>
      </fill>
    </dxf>
    <dxf>
      <fill>
        <patternFill>
          <bgColor theme="8" tint="0.39994506668294322"/>
        </patternFill>
      </fill>
    </dxf>
    <dxf>
      <fill>
        <patternFill>
          <bgColor rgb="FFFFFF00"/>
        </patternFill>
      </fill>
    </dxf>
    <dxf>
      <fill>
        <patternFill>
          <bgColor theme="6" tint="0.59996337778862885"/>
        </patternFill>
      </fill>
    </dxf>
    <dxf>
      <fill>
        <patternFill>
          <bgColor theme="3" tint="0.59996337778862885"/>
        </patternFill>
      </fill>
    </dxf>
    <dxf>
      <fill>
        <patternFill>
          <bgColor rgb="FF00B050"/>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theme="8" tint="-0.24994659260841701"/>
        </patternFill>
      </fill>
    </dxf>
    <dxf>
      <fill>
        <patternFill>
          <bgColor rgb="FFFFFF00"/>
        </patternFill>
      </fill>
    </dxf>
    <dxf>
      <fill>
        <patternFill>
          <bgColor theme="6" tint="0.59996337778862885"/>
        </patternFill>
      </fill>
    </dxf>
    <dxf>
      <fill>
        <patternFill>
          <bgColor theme="3" tint="0.59996337778862885"/>
        </patternFill>
      </fill>
    </dxf>
    <dxf>
      <fill>
        <patternFill>
          <bgColor theme="8" tint="0.39994506668294322"/>
        </patternFill>
      </fill>
    </dxf>
    <dxf>
      <fill>
        <patternFill>
          <bgColor rgb="FF00B050"/>
        </patternFill>
      </fill>
    </dxf>
    <dxf>
      <fill>
        <patternFill>
          <bgColor rgb="FFFF0000"/>
        </patternFill>
      </fill>
    </dxf>
    <dxf>
      <fill>
        <patternFill>
          <bgColor theme="8" tint="0.39994506668294322"/>
        </patternFill>
      </fill>
    </dxf>
    <dxf>
      <fill>
        <patternFill>
          <bgColor rgb="FFFFFF00"/>
        </patternFill>
      </fill>
    </dxf>
    <dxf>
      <fill>
        <patternFill>
          <bgColor theme="3" tint="0.59996337778862885"/>
        </patternFill>
      </fill>
    </dxf>
    <dxf>
      <fill>
        <patternFill>
          <bgColor rgb="FF00B050"/>
        </patternFill>
      </fill>
    </dxf>
    <dxf>
      <fill>
        <patternFill>
          <bgColor theme="6" tint="0.59996337778862885"/>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theme="3" tint="0.59996337778862885"/>
        </patternFill>
      </fill>
    </dxf>
    <dxf>
      <fill>
        <patternFill>
          <bgColor theme="8" tint="0.39994506668294322"/>
        </patternFill>
      </fill>
    </dxf>
    <dxf>
      <fill>
        <patternFill>
          <bgColor rgb="FFFF0000"/>
        </patternFill>
      </fill>
    </dxf>
    <dxf>
      <fill>
        <patternFill>
          <bgColor rgb="FFFFFF00"/>
        </patternFill>
      </fill>
    </dxf>
    <dxf>
      <fill>
        <patternFill>
          <bgColor rgb="FF00B050"/>
        </patternFill>
      </fill>
    </dxf>
    <dxf>
      <fill>
        <patternFill>
          <bgColor theme="6" tint="0.59996337778862885"/>
        </patternFill>
      </fill>
    </dxf>
    <dxf>
      <fill>
        <patternFill>
          <bgColor rgb="FFFF0000"/>
        </patternFill>
      </fill>
    </dxf>
    <dxf>
      <fill>
        <patternFill>
          <bgColor theme="8" tint="0.39994506668294322"/>
        </patternFill>
      </fill>
    </dxf>
    <dxf>
      <fill>
        <patternFill>
          <bgColor rgb="FFFFFF00"/>
        </patternFill>
      </fill>
    </dxf>
    <dxf>
      <fill>
        <patternFill>
          <bgColor rgb="FF00B050"/>
        </patternFill>
      </fill>
    </dxf>
    <dxf>
      <fill>
        <patternFill>
          <bgColor theme="3" tint="0.59996337778862885"/>
        </patternFill>
      </fill>
    </dxf>
    <dxf>
      <fill>
        <patternFill>
          <bgColor theme="6" tint="0.59996337778862885"/>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2" tint="-0.24994659260841701"/>
        </patternFill>
      </fill>
    </dxf>
    <dxf>
      <fill>
        <patternFill>
          <bgColor theme="8" tint="0.39994506668294322"/>
        </patternFill>
      </fill>
    </dxf>
    <dxf>
      <fill>
        <patternFill>
          <bgColor theme="6" tint="0.59996337778862885"/>
        </patternFill>
      </fill>
    </dxf>
    <dxf>
      <fill>
        <patternFill>
          <bgColor rgb="FFFF0000"/>
        </patternFill>
      </fill>
    </dxf>
    <dxf>
      <fill>
        <patternFill>
          <bgColor theme="3" tint="0.59996337778862885"/>
        </patternFill>
      </fill>
    </dxf>
    <dxf>
      <fill>
        <patternFill>
          <bgColor rgb="FFFFFF00"/>
        </patternFill>
      </fill>
    </dxf>
    <dxf>
      <fill>
        <patternFill>
          <bgColor rgb="FF00B050"/>
        </patternFill>
      </fill>
    </dxf>
    <dxf>
      <fill>
        <patternFill>
          <bgColor theme="3" tint="0.59996337778862885"/>
        </patternFill>
      </fill>
    </dxf>
    <dxf>
      <fill>
        <patternFill>
          <bgColor theme="6" tint="0.59996337778862885"/>
        </patternFill>
      </fill>
    </dxf>
    <dxf>
      <fill>
        <patternFill>
          <bgColor rgb="FF00B050"/>
        </patternFill>
      </fill>
    </dxf>
    <dxf>
      <fill>
        <patternFill>
          <bgColor theme="8" tint="0.39994506668294322"/>
        </patternFill>
      </fill>
    </dxf>
    <dxf>
      <fill>
        <patternFill>
          <bgColor rgb="FFFFFF00"/>
        </patternFill>
      </fill>
    </dxf>
    <dxf>
      <fill>
        <patternFill>
          <bgColor rgb="FFFF0000"/>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rgb="FFFFFF00"/>
        </patternFill>
      </fill>
    </dxf>
    <dxf>
      <fill>
        <patternFill>
          <bgColor theme="6" tint="0.59996337778862885"/>
        </patternFill>
      </fill>
    </dxf>
    <dxf>
      <fill>
        <patternFill>
          <bgColor rgb="FFFF0000"/>
        </patternFill>
      </fill>
    </dxf>
    <dxf>
      <fill>
        <patternFill>
          <bgColor theme="8" tint="0.39994506668294322"/>
        </patternFill>
      </fill>
    </dxf>
    <dxf>
      <fill>
        <patternFill>
          <bgColor theme="3" tint="0.59996337778862885"/>
        </patternFill>
      </fill>
    </dxf>
    <dxf>
      <fill>
        <patternFill>
          <bgColor rgb="FF00B050"/>
        </patternFill>
      </fill>
    </dxf>
    <dxf>
      <fill>
        <patternFill>
          <bgColor rgb="FFFF0000"/>
        </patternFill>
      </fill>
    </dxf>
    <dxf>
      <fill>
        <patternFill>
          <bgColor theme="8" tint="0.39994506668294322"/>
        </patternFill>
      </fill>
    </dxf>
    <dxf>
      <fill>
        <patternFill>
          <bgColor rgb="FFFFFF00"/>
        </patternFill>
      </fill>
    </dxf>
    <dxf>
      <fill>
        <patternFill>
          <bgColor theme="3" tint="0.59996337778862885"/>
        </patternFill>
      </fill>
    </dxf>
    <dxf>
      <fill>
        <patternFill>
          <bgColor rgb="FF00B050"/>
        </patternFill>
      </fill>
    </dxf>
    <dxf>
      <fill>
        <patternFill>
          <bgColor theme="6" tint="0.59996337778862885"/>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8" tint="0.39994506668294322"/>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theme="8" tint="0.39994506668294322"/>
        </patternFill>
      </fill>
    </dxf>
    <dxf>
      <fill>
        <patternFill>
          <bgColor rgb="FF00B050"/>
        </patternFill>
      </fill>
    </dxf>
    <dxf>
      <fill>
        <patternFill>
          <bgColor rgb="FFFFFF00"/>
        </patternFill>
      </fill>
    </dxf>
    <dxf>
      <fill>
        <patternFill>
          <bgColor theme="3" tint="0.59996337778862885"/>
        </patternFill>
      </fill>
    </dxf>
    <dxf>
      <fill>
        <patternFill>
          <bgColor theme="6" tint="0.59996337778862885"/>
        </patternFill>
      </fill>
    </dxf>
    <dxf>
      <fill>
        <patternFill>
          <bgColor rgb="FFFF0000"/>
        </patternFill>
      </fill>
    </dxf>
    <dxf>
      <fill>
        <patternFill>
          <bgColor theme="8" tint="0.39994506668294322"/>
        </patternFill>
      </fill>
    </dxf>
    <dxf>
      <fill>
        <patternFill>
          <bgColor rgb="FFFFFF00"/>
        </patternFill>
      </fill>
    </dxf>
    <dxf>
      <fill>
        <patternFill>
          <bgColor theme="6" tint="0.59996337778862885"/>
        </patternFill>
      </fill>
    </dxf>
    <dxf>
      <fill>
        <patternFill>
          <bgColor rgb="FF00B050"/>
        </patternFill>
      </fill>
    </dxf>
    <dxf>
      <fill>
        <patternFill>
          <bgColor theme="3" tint="0.59996337778862885"/>
        </patternFill>
      </fill>
    </dxf>
    <dxf>
      <fill>
        <patternFill>
          <bgColor theme="6" tint="0.59996337778862885"/>
        </patternFill>
      </fill>
    </dxf>
    <dxf>
      <fill>
        <patternFill>
          <bgColor rgb="FFFF0000"/>
        </patternFill>
      </fill>
    </dxf>
    <dxf>
      <fill>
        <patternFill>
          <bgColor rgb="FF00B050"/>
        </patternFill>
      </fill>
    </dxf>
    <dxf>
      <fill>
        <patternFill>
          <bgColor theme="3" tint="0.59996337778862885"/>
        </patternFill>
      </fill>
    </dxf>
    <dxf>
      <fill>
        <patternFill>
          <bgColor theme="8" tint="0.59996337778862885"/>
        </patternFill>
      </fill>
    </dxf>
    <dxf>
      <fill>
        <patternFill>
          <bgColor rgb="FFFFFF00"/>
        </patternFill>
      </fill>
    </dxf>
    <dxf>
      <fill>
        <patternFill>
          <bgColor rgb="FFFF0000"/>
        </patternFill>
      </fill>
    </dxf>
    <dxf>
      <fill>
        <patternFill>
          <bgColor rgb="FF00B050"/>
        </patternFill>
      </fill>
    </dxf>
    <dxf>
      <fill>
        <patternFill>
          <bgColor theme="8" tint="0.39994506668294322"/>
        </patternFill>
      </fill>
    </dxf>
    <dxf>
      <fill>
        <patternFill>
          <bgColor theme="3"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0000"/>
        </patternFill>
      </fill>
    </dxf>
    <dxf>
      <fill>
        <patternFill>
          <bgColor rgb="FFFFFF00"/>
        </patternFill>
      </fill>
    </dxf>
    <dxf>
      <fill>
        <patternFill>
          <bgColor rgb="FF00B050"/>
        </patternFill>
      </fill>
    </dxf>
    <dxf>
      <fill>
        <patternFill>
          <bgColor theme="3" tint="0.59996337778862885"/>
        </patternFill>
      </fill>
    </dxf>
    <dxf>
      <fill>
        <patternFill>
          <bgColor theme="8" tint="0.39994506668294322"/>
        </patternFill>
      </fill>
    </dxf>
    <dxf>
      <fill>
        <patternFill>
          <bgColor rgb="FFFFFF00"/>
        </patternFill>
      </fill>
    </dxf>
    <dxf>
      <fill>
        <patternFill>
          <bgColor theme="8" tint="0.39994506668294322"/>
        </patternFill>
      </fill>
    </dxf>
    <dxf>
      <fill>
        <patternFill>
          <bgColor theme="3" tint="0.59996337778862885"/>
        </patternFill>
      </fill>
    </dxf>
    <dxf>
      <fill>
        <patternFill>
          <bgColor theme="6" tint="0.59996337778862885"/>
        </patternFill>
      </fill>
    </dxf>
    <dxf>
      <fill>
        <patternFill>
          <bgColor theme="8" tint="-0.24994659260841701"/>
        </patternFill>
      </fill>
    </dxf>
    <dxf>
      <fill>
        <patternFill>
          <bgColor rgb="FF00B050"/>
        </patternFill>
      </fill>
    </dxf>
    <dxf>
      <fill>
        <patternFill>
          <bgColor rgb="FFFF0000"/>
        </patternFill>
      </fill>
    </dxf>
    <dxf>
      <fill>
        <patternFill>
          <bgColor theme="8" tint="0.39994506668294322"/>
        </patternFill>
      </fill>
    </dxf>
    <dxf>
      <fill>
        <patternFill>
          <bgColor rgb="FF00B050"/>
        </patternFill>
      </fill>
    </dxf>
    <dxf>
      <fill>
        <patternFill>
          <bgColor theme="6" tint="0.59996337778862885"/>
        </patternFill>
      </fill>
    </dxf>
    <dxf>
      <fill>
        <patternFill>
          <bgColor rgb="FFFFFF00"/>
        </patternFill>
      </fill>
    </dxf>
    <dxf>
      <fill>
        <patternFill>
          <bgColor theme="3" tint="0.59996337778862885"/>
        </patternFill>
      </fill>
    </dxf>
    <dxf>
      <fill>
        <patternFill>
          <bgColor theme="3" tint="0.59996337778862885"/>
        </patternFill>
      </fill>
    </dxf>
    <dxf>
      <fill>
        <patternFill>
          <bgColor rgb="FFFF0000"/>
        </patternFill>
      </fill>
    </dxf>
    <dxf>
      <fill>
        <patternFill>
          <bgColor rgb="FF00B050"/>
        </patternFill>
      </fill>
    </dxf>
    <dxf>
      <fill>
        <patternFill>
          <bgColor rgb="FFFFFF00"/>
        </patternFill>
      </fill>
    </dxf>
    <dxf>
      <fill>
        <patternFill>
          <bgColor theme="6" tint="0.59996337778862885"/>
        </patternFill>
      </fill>
    </dxf>
    <dxf>
      <fill>
        <patternFill>
          <bgColor theme="8" tint="0.39994506668294322"/>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CACACA"/>
      <rgbColor rgb="FF42424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796"/>
      <color rgb="FFEAEAEA"/>
      <color rgb="FF9AB5C7"/>
      <color rgb="FF6890AB"/>
      <color rgb="FFCDDAE3"/>
      <color rgb="FFB3C8D5"/>
      <color rgb="FF034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0.xml"/><Relationship Id="rId21" Type="http://schemas.openxmlformats.org/officeDocument/2006/relationships/worksheet" Target="worksheets/sheet21.xml"/><Relationship Id="rId34" Type="http://schemas.openxmlformats.org/officeDocument/2006/relationships/pivotCacheDefinition" Target="pivotCache/pivotCacheDefinition5.xml"/><Relationship Id="rId42" Type="http://schemas.openxmlformats.org/officeDocument/2006/relationships/pivotCacheDefinition" Target="pivotCache/pivotCacheDefinition13.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openxmlformats.org/officeDocument/2006/relationships/pivotCacheDefinition" Target="pivotCache/pivotCacheDefinition8.xml"/><Relationship Id="rId40" Type="http://schemas.openxmlformats.org/officeDocument/2006/relationships/pivotCacheDefinition" Target="pivotCache/pivotCacheDefinition1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7.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pivotCacheDefinition" Target="pivotCache/pivotCacheDefinition6.xml"/><Relationship Id="rId43" Type="http://schemas.openxmlformats.org/officeDocument/2006/relationships/pivotCacheDefinition" Target="pivotCache/pivotCacheDefinition14.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openxmlformats.org/officeDocument/2006/relationships/pivotCacheDefinition" Target="pivotCache/pivotCacheDefinition9.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[TALBAGO_Evaluation_Maturite_Securite_Cloud.xlsx]Dashboard_Sécurité réseau!Tableau croisé dynamique13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Sécurité réseau</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0000">
                <a:lumMod val="25000"/>
                <a:lumOff val="75000"/>
                <a:alpha val="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796">
              <a:alpha val="80000"/>
            </a:srgbClr>
          </a:solidFill>
          <a:ln>
            <a:solidFill>
              <a:srgbClr val="000000">
                <a:lumMod val="25000"/>
                <a:lumOff val="75000"/>
                <a:alpha val="0"/>
              </a:srgbClr>
            </a:solidFill>
          </a:ln>
          <a:effectLst/>
        </c:spPr>
      </c:pivotFmt>
      <c:pivotFmt>
        <c:idx val="2"/>
        <c:spPr>
          <a:solidFill>
            <a:srgbClr val="008796">
              <a:alpha val="73000"/>
            </a:srgbClr>
          </a:solidFill>
          <a:ln>
            <a:solidFill>
              <a:srgbClr val="000000">
                <a:lumMod val="25000"/>
                <a:lumOff val="75000"/>
                <a:alpha val="0"/>
              </a:srgbClr>
            </a:solidFill>
          </a:ln>
          <a:effectLst/>
        </c:spPr>
      </c:pivotFmt>
      <c:pivotFmt>
        <c:idx val="3"/>
        <c:spPr>
          <a:solidFill>
            <a:srgbClr val="008796">
              <a:alpha val="84000"/>
            </a:srgbClr>
          </a:solidFill>
          <a:ln>
            <a:solidFill>
              <a:srgbClr val="000000">
                <a:lumMod val="25000"/>
                <a:lumOff val="75000"/>
                <a:alpha val="0"/>
              </a:srgbClr>
            </a:solidFill>
          </a:ln>
          <a:effectLst/>
        </c:spPr>
      </c:pivotFmt>
      <c:pivotFmt>
        <c:idx val="4"/>
        <c:spPr>
          <a:solidFill>
            <a:srgbClr val="008796">
              <a:alpha val="83000"/>
            </a:srgbClr>
          </a:solidFill>
          <a:ln>
            <a:solidFill>
              <a:srgbClr val="000000">
                <a:lumMod val="25000"/>
                <a:lumOff val="75000"/>
                <a:alpha val="0"/>
              </a:srgbClr>
            </a:solidFill>
          </a:ln>
          <a:effectLst/>
        </c:spPr>
      </c:pivotFmt>
      <c:pivotFmt>
        <c:idx val="5"/>
        <c:spPr>
          <a:solidFill>
            <a:srgbClr val="008796">
              <a:alpha val="81000"/>
            </a:srgbClr>
          </a:solidFill>
          <a:ln>
            <a:solidFill>
              <a:srgbClr val="000000">
                <a:lumMod val="25000"/>
                <a:lumOff val="75000"/>
                <a:alpha val="0"/>
              </a:srgbClr>
            </a:solidFill>
          </a:ln>
          <a:effectLst/>
        </c:spPr>
      </c:pivotFmt>
      <c:pivotFmt>
        <c:idx val="6"/>
        <c:spPr>
          <a:solidFill>
            <a:srgbClr val="008796">
              <a:alpha val="81000"/>
            </a:srgbClr>
          </a:solidFill>
          <a:ln>
            <a:solidFill>
              <a:srgbClr val="000000">
                <a:lumMod val="25000"/>
                <a:lumOff val="75000"/>
                <a:alpha val="0"/>
              </a:srgbClr>
            </a:solidFill>
          </a:ln>
          <a:effectLst/>
        </c:spPr>
      </c:pivotFmt>
    </c:pivotFmts>
    <c:plotArea>
      <c:layout/>
      <c:barChart>
        <c:barDir val="col"/>
        <c:grouping val="clustered"/>
        <c:varyColors val="0"/>
        <c:ser>
          <c:idx val="0"/>
          <c:order val="0"/>
          <c:tx>
            <c:strRef>
              <c:f>'Dashboard_Sécurité réseau'!$E$8</c:f>
              <c:strCache>
                <c:ptCount val="1"/>
                <c:pt idx="0">
                  <c:v>Total</c:v>
                </c:pt>
              </c:strCache>
            </c:strRef>
          </c:tx>
          <c:spPr>
            <a:solidFill>
              <a:schemeClr val="accent1"/>
            </a:solidFill>
            <a:ln>
              <a:solidFill>
                <a:srgbClr val="000000">
                  <a:lumMod val="25000"/>
                  <a:lumOff val="75000"/>
                  <a:alpha val="0"/>
                </a:srgbClr>
              </a:solidFill>
            </a:ln>
            <a:effectLst/>
          </c:spPr>
          <c:invertIfNegative val="0"/>
          <c:dPt>
            <c:idx val="0"/>
            <c:invertIfNegative val="0"/>
            <c:bubble3D val="0"/>
            <c:spPr>
              <a:solidFill>
                <a:srgbClr val="008796">
                  <a:alpha val="81000"/>
                </a:srgbClr>
              </a:solidFill>
              <a:ln>
                <a:solidFill>
                  <a:srgbClr val="000000">
                    <a:lumMod val="25000"/>
                    <a:lumOff val="75000"/>
                    <a:alpha val="0"/>
                  </a:srgbClr>
                </a:solidFill>
              </a:ln>
              <a:effectLst/>
            </c:spPr>
            <c:extLst>
              <c:ext xmlns:c16="http://schemas.microsoft.com/office/drawing/2014/chart" uri="{C3380CC4-5D6E-409C-BE32-E72D297353CC}">
                <c16:uniqueId val="{00000007-5BE1-4653-8720-49F2772ED285}"/>
              </c:ext>
            </c:extLst>
          </c:dPt>
          <c:dPt>
            <c:idx val="1"/>
            <c:invertIfNegative val="0"/>
            <c:bubble3D val="0"/>
            <c:spPr>
              <a:solidFill>
                <a:srgbClr val="008796">
                  <a:alpha val="81000"/>
                </a:srgbClr>
              </a:solidFill>
              <a:ln>
                <a:solidFill>
                  <a:srgbClr val="000000">
                    <a:lumMod val="25000"/>
                    <a:lumOff val="75000"/>
                    <a:alpha val="0"/>
                  </a:srgbClr>
                </a:solidFill>
              </a:ln>
              <a:effectLst/>
            </c:spPr>
            <c:extLst>
              <c:ext xmlns:c16="http://schemas.microsoft.com/office/drawing/2014/chart" uri="{C3380CC4-5D6E-409C-BE32-E72D297353CC}">
                <c16:uniqueId val="{00000006-5BE1-4653-8720-49F2772ED285}"/>
              </c:ext>
            </c:extLst>
          </c:dPt>
          <c:dPt>
            <c:idx val="2"/>
            <c:invertIfNegative val="0"/>
            <c:bubble3D val="0"/>
            <c:spPr>
              <a:solidFill>
                <a:srgbClr val="008796">
                  <a:alpha val="83000"/>
                </a:srgbClr>
              </a:solidFill>
              <a:ln>
                <a:solidFill>
                  <a:srgbClr val="000000">
                    <a:lumMod val="25000"/>
                    <a:lumOff val="75000"/>
                    <a:alpha val="0"/>
                  </a:srgbClr>
                </a:solidFill>
              </a:ln>
              <a:effectLst/>
            </c:spPr>
            <c:extLst>
              <c:ext xmlns:c16="http://schemas.microsoft.com/office/drawing/2014/chart" uri="{C3380CC4-5D6E-409C-BE32-E72D297353CC}">
                <c16:uniqueId val="{00000005-5BE1-4653-8720-49F2772ED285}"/>
              </c:ext>
            </c:extLst>
          </c:dPt>
          <c:dPt>
            <c:idx val="3"/>
            <c:invertIfNegative val="0"/>
            <c:bubble3D val="0"/>
            <c:spPr>
              <a:solidFill>
                <a:srgbClr val="008796">
                  <a:alpha val="84000"/>
                </a:srgbClr>
              </a:solidFill>
              <a:ln>
                <a:solidFill>
                  <a:srgbClr val="000000">
                    <a:lumMod val="25000"/>
                    <a:lumOff val="75000"/>
                    <a:alpha val="0"/>
                  </a:srgbClr>
                </a:solidFill>
              </a:ln>
              <a:effectLst/>
            </c:spPr>
            <c:extLst>
              <c:ext xmlns:c16="http://schemas.microsoft.com/office/drawing/2014/chart" uri="{C3380CC4-5D6E-409C-BE32-E72D297353CC}">
                <c16:uniqueId val="{00000004-5BE1-4653-8720-49F2772ED285}"/>
              </c:ext>
            </c:extLst>
          </c:dPt>
          <c:dPt>
            <c:idx val="4"/>
            <c:invertIfNegative val="0"/>
            <c:bubble3D val="0"/>
            <c:spPr>
              <a:solidFill>
                <a:srgbClr val="008796">
                  <a:alpha val="80000"/>
                </a:srgbClr>
              </a:solidFill>
              <a:ln>
                <a:solidFill>
                  <a:srgbClr val="000000">
                    <a:lumMod val="25000"/>
                    <a:lumOff val="75000"/>
                    <a:alpha val="0"/>
                  </a:srgbClr>
                </a:solidFill>
              </a:ln>
              <a:effectLst/>
            </c:spPr>
            <c:extLst>
              <c:ext xmlns:c16="http://schemas.microsoft.com/office/drawing/2014/chart" uri="{C3380CC4-5D6E-409C-BE32-E72D297353CC}">
                <c16:uniqueId val="{00000002-5BE1-4653-8720-49F2772ED285}"/>
              </c:ext>
            </c:extLst>
          </c:dPt>
          <c:dPt>
            <c:idx val="5"/>
            <c:invertIfNegative val="0"/>
            <c:bubble3D val="0"/>
            <c:spPr>
              <a:solidFill>
                <a:srgbClr val="008796">
                  <a:alpha val="73000"/>
                </a:srgbClr>
              </a:solidFill>
              <a:ln>
                <a:solidFill>
                  <a:srgbClr val="000000">
                    <a:lumMod val="25000"/>
                    <a:lumOff val="75000"/>
                    <a:alpha val="0"/>
                  </a:srgbClr>
                </a:solidFill>
              </a:ln>
              <a:effectLst/>
            </c:spPr>
            <c:extLst>
              <c:ext xmlns:c16="http://schemas.microsoft.com/office/drawing/2014/chart" uri="{C3380CC4-5D6E-409C-BE32-E72D297353CC}">
                <c16:uniqueId val="{00000003-5BE1-4653-8720-49F2772ED285}"/>
              </c:ext>
            </c:extLst>
          </c:dPt>
          <c:cat>
            <c:strRef>
              <c:f>'Dashboard_Sécurité réseau'!$D$9:$D$15</c:f>
              <c:strCache>
                <c:ptCount val="6"/>
                <c:pt idx="0">
                  <c:v>NET-02.1</c:v>
                </c:pt>
                <c:pt idx="1">
                  <c:v>NET-03.1</c:v>
                </c:pt>
                <c:pt idx="2">
                  <c:v>NET-03.2</c:v>
                </c:pt>
                <c:pt idx="3">
                  <c:v>NET-04.1</c:v>
                </c:pt>
                <c:pt idx="4">
                  <c:v>NET-04.2</c:v>
                </c:pt>
                <c:pt idx="5">
                  <c:v>NET-05.1</c:v>
                </c:pt>
              </c:strCache>
            </c:strRef>
          </c:cat>
          <c:val>
            <c:numRef>
              <c:f>'Dashboard_Sécurité réseau'!$E$9:$E$15</c:f>
              <c:numCache>
                <c:formatCode>General</c:formatCode>
                <c:ptCount val="6"/>
                <c:pt idx="0">
                  <c:v>1</c:v>
                </c:pt>
                <c:pt idx="1">
                  <c:v>4</c:v>
                </c:pt>
                <c:pt idx="2">
                  <c:v>5</c:v>
                </c:pt>
                <c:pt idx="3">
                  <c:v>2</c:v>
                </c:pt>
                <c:pt idx="4">
                  <c:v>3</c:v>
                </c:pt>
                <c:pt idx="5">
                  <c:v>2</c:v>
                </c:pt>
              </c:numCache>
            </c:numRef>
          </c:val>
          <c:extLst>
            <c:ext xmlns:c16="http://schemas.microsoft.com/office/drawing/2014/chart" uri="{C3380CC4-5D6E-409C-BE32-E72D297353CC}">
              <c16:uniqueId val="{00000000-5BE1-4653-8720-49F2772ED285}"/>
            </c:ext>
          </c:extLst>
        </c:ser>
        <c:dLbls>
          <c:showLegendKey val="0"/>
          <c:showVal val="0"/>
          <c:showCatName val="0"/>
          <c:showSerName val="0"/>
          <c:showPercent val="0"/>
          <c:showBubbleSize val="0"/>
        </c:dLbls>
        <c:gapWidth val="219"/>
        <c:overlap val="-27"/>
        <c:axId val="364111343"/>
        <c:axId val="364107503"/>
      </c:barChart>
      <c:catAx>
        <c:axId val="36411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4107503"/>
        <c:crosses val="autoZero"/>
        <c:auto val="1"/>
        <c:lblAlgn val="ctr"/>
        <c:lblOffset val="100"/>
        <c:noMultiLvlLbl val="0"/>
      </c:catAx>
      <c:valAx>
        <c:axId val="3641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411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[TALBAGO_Evaluation_Maturite_Securite_Cloud.xlsx]Dashboard_Sécurité réseau!Tableau croisé dynamique14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0"/>
              <a:t>Distribution des niveaux de maturité – Sécurité réseau</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chemeClr val="accent3">
              <a:lumMod val="60000"/>
              <a:lumOff val="40000"/>
            </a:schemeClr>
          </a:solidFill>
          <a:ln w="19050">
            <a:solidFill>
              <a:schemeClr val="lt1"/>
            </a:solidFill>
          </a:ln>
          <a:effectLst/>
        </c:spPr>
      </c:pivotFmt>
      <c:pivotFmt>
        <c:idx val="4"/>
        <c:spPr>
          <a:solidFill>
            <a:srgbClr val="FFFF00"/>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'Dashboard_Sécurité réseau'!$M$8</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2-C5E0-49BD-84C8-611A6604F1BD}"/>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C5E0-49BD-84C8-611A6604F1BD}"/>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4-C5E0-49BD-84C8-611A6604F1BD}"/>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6-C5E0-49BD-84C8-611A6604F1BD}"/>
              </c:ext>
            </c:extLst>
          </c:dPt>
          <c:dPt>
            <c:idx val="4"/>
            <c:bubble3D val="0"/>
            <c:spPr>
              <a:solidFill>
                <a:srgbClr val="FFFF00"/>
              </a:solidFill>
              <a:ln w="19050">
                <a:solidFill>
                  <a:schemeClr val="lt1"/>
                </a:solidFill>
              </a:ln>
              <a:effectLst/>
            </c:spPr>
            <c:extLst>
              <c:ext xmlns:c16="http://schemas.microsoft.com/office/drawing/2014/chart" uri="{C3380CC4-5D6E-409C-BE32-E72D297353CC}">
                <c16:uniqueId val="{00000005-C5E0-49BD-84C8-611A6604F1BD}"/>
              </c:ext>
            </c:extLst>
          </c:dPt>
          <c:dLbls>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'Dashboard_Sécurité réseau'!$L$9:$L$14</c:f>
              <c:strCache>
                <c:ptCount val="5"/>
                <c:pt idx="0">
                  <c:v>1</c:v>
                </c:pt>
                <c:pt idx="1">
                  <c:v>2</c:v>
                </c:pt>
                <c:pt idx="2">
                  <c:v>4</c:v>
                </c:pt>
                <c:pt idx="3">
                  <c:v>5</c:v>
                </c:pt>
                <c:pt idx="4">
                  <c:v>3</c:v>
                </c:pt>
              </c:strCache>
            </c:strRef>
          </c:cat>
          <c:val>
            <c:numRef>
              <c:f>'Dashboard_Sécurité réseau'!$M$9:$M$14</c:f>
              <c:numCache>
                <c:formatCode>General</c:formatCode>
                <c:ptCount val="5"/>
                <c:pt idx="0">
                  <c:v>1</c:v>
                </c:pt>
                <c:pt idx="1">
                  <c:v>2</c:v>
                </c:pt>
                <c:pt idx="2">
                  <c:v>1</c:v>
                </c:pt>
                <c:pt idx="3">
                  <c:v>1</c:v>
                </c:pt>
                <c:pt idx="4">
                  <c:v>1</c:v>
                </c:pt>
              </c:numCache>
            </c:numRef>
          </c:val>
          <c:extLst>
            <c:ext xmlns:c16="http://schemas.microsoft.com/office/drawing/2014/chart" uri="{C3380CC4-5D6E-409C-BE32-E72D297353CC}">
              <c16:uniqueId val="{00000000-C5E0-49BD-84C8-611A6604F1B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[TALBAGO_Evaluation_Maturite_Securite_Cloud.xlsx]Dashboard_SCT!Tableau croisé dynamique15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b="0" i="0" u="none" strike="noStrike" kern="1200" spc="0" baseline="0">
                <a:solidFill>
                  <a:srgbClr val="000000">
                    <a:lumMod val="65000"/>
                    <a:lumOff val="35000"/>
                  </a:srgbClr>
                </a:solidFill>
              </a:rPr>
              <a:t>Niveau de maturité par contrôle – Sécurité des charges de travail</a:t>
            </a:r>
            <a:endParaRPr lang="en-US" sz="12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64000"/>
            </a:srgbClr>
          </a:solidFill>
          <a:ln>
            <a:solidFill>
              <a:srgbClr val="000000">
                <a:lumMod val="25000"/>
                <a:lumOff val="75000"/>
                <a:alpha val="1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Dashboard_SCT!$B$1</c:f>
              <c:strCache>
                <c:ptCount val="1"/>
                <c:pt idx="0">
                  <c:v>Total</c:v>
                </c:pt>
              </c:strCache>
            </c:strRef>
          </c:tx>
          <c:spPr>
            <a:solidFill>
              <a:srgbClr val="008796">
                <a:alpha val="64000"/>
              </a:srgbClr>
            </a:solidFill>
            <a:ln>
              <a:solidFill>
                <a:srgbClr val="000000">
                  <a:lumMod val="25000"/>
                  <a:lumOff val="75000"/>
                  <a:alpha val="10000"/>
                </a:srgbClr>
              </a:solidFill>
            </a:ln>
            <a:effectLst/>
          </c:spPr>
          <c:invertIfNegative val="0"/>
          <c:cat>
            <c:strRef>
              <c:f>Dashboard_SCT!$A$2:$A$13</c:f>
              <c:strCache>
                <c:ptCount val="11"/>
                <c:pt idx="0">
                  <c:v>WKL-02.1</c:v>
                </c:pt>
                <c:pt idx="1">
                  <c:v>WKL-02.2</c:v>
                </c:pt>
                <c:pt idx="2">
                  <c:v>WKL-03.1</c:v>
                </c:pt>
                <c:pt idx="3">
                  <c:v>WKL-03.2</c:v>
                </c:pt>
                <c:pt idx="4">
                  <c:v>WKL-03.3</c:v>
                </c:pt>
                <c:pt idx="5">
                  <c:v>WKL-04.1</c:v>
                </c:pt>
                <c:pt idx="6">
                  <c:v>WKL-04.2</c:v>
                </c:pt>
                <c:pt idx="7">
                  <c:v>WKL-04.3</c:v>
                </c:pt>
                <c:pt idx="8">
                  <c:v>WKL-04.4</c:v>
                </c:pt>
                <c:pt idx="9">
                  <c:v>WKL-05.1</c:v>
                </c:pt>
                <c:pt idx="10">
                  <c:v>WKL-05.2</c:v>
                </c:pt>
              </c:strCache>
            </c:strRef>
          </c:cat>
          <c:val>
            <c:numRef>
              <c:f>Dashboard_SCT!$B$2:$B$13</c:f>
              <c:numCache>
                <c:formatCode>General</c:formatCode>
                <c:ptCount val="11"/>
                <c:pt idx="0">
                  <c:v>1</c:v>
                </c:pt>
                <c:pt idx="1">
                  <c:v>4</c:v>
                </c:pt>
                <c:pt idx="2">
                  <c:v>5</c:v>
                </c:pt>
                <c:pt idx="3">
                  <c:v>3</c:v>
                </c:pt>
                <c:pt idx="4">
                  <c:v>1</c:v>
                </c:pt>
                <c:pt idx="5">
                  <c:v>3</c:v>
                </c:pt>
                <c:pt idx="6">
                  <c:v>4</c:v>
                </c:pt>
                <c:pt idx="7">
                  <c:v>2</c:v>
                </c:pt>
                <c:pt idx="8">
                  <c:v>2</c:v>
                </c:pt>
                <c:pt idx="9">
                  <c:v>2</c:v>
                </c:pt>
                <c:pt idx="10">
                  <c:v>2</c:v>
                </c:pt>
              </c:numCache>
            </c:numRef>
          </c:val>
          <c:extLst>
            <c:ext xmlns:c16="http://schemas.microsoft.com/office/drawing/2014/chart" uri="{C3380CC4-5D6E-409C-BE32-E72D297353CC}">
              <c16:uniqueId val="{00000000-CC2F-4ECB-8369-2077B948731C}"/>
            </c:ext>
          </c:extLst>
        </c:ser>
        <c:dLbls>
          <c:showLegendKey val="0"/>
          <c:showVal val="0"/>
          <c:showCatName val="0"/>
          <c:showSerName val="0"/>
          <c:showPercent val="0"/>
          <c:showBubbleSize val="0"/>
        </c:dLbls>
        <c:gapWidth val="219"/>
        <c:overlap val="-27"/>
        <c:axId val="560648559"/>
        <c:axId val="560639439"/>
      </c:barChart>
      <c:catAx>
        <c:axId val="56064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0639439"/>
        <c:crosses val="autoZero"/>
        <c:auto val="1"/>
        <c:lblAlgn val="ctr"/>
        <c:lblOffset val="100"/>
        <c:noMultiLvlLbl val="0"/>
      </c:catAx>
      <c:valAx>
        <c:axId val="56063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064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[TALBAGO_Evaluation_Maturite_Securite_Cloud.xlsx]Dashboard_SCT!Tableau croisé dynamique16</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fr-FR" sz="1200" b="0" i="0" u="none" strike="noStrike" kern="1200" spc="0" baseline="0">
                <a:solidFill>
                  <a:srgbClr val="000000">
                    <a:lumMod val="65000"/>
                    <a:lumOff val="35000"/>
                  </a:srgbClr>
                </a:solidFill>
              </a:rPr>
              <a:t>Distribution des niveaux de maturité – – Sécurité des charges de travail</a:t>
            </a:r>
            <a:endParaRPr lang="en-US" sz="12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Dashboard_SCT!$L$4</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2-756E-4AB3-97D7-F5565B420559}"/>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756E-4AB3-97D7-F5565B420559}"/>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756E-4AB3-97D7-F5565B420559}"/>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756E-4AB3-97D7-F5565B420559}"/>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756E-4AB3-97D7-F5565B420559}"/>
              </c:ext>
            </c:extLst>
          </c:dPt>
          <c:dLbls>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Dashboard_SCT!$K$5:$K$10</c:f>
              <c:strCache>
                <c:ptCount val="5"/>
                <c:pt idx="0">
                  <c:v>1</c:v>
                </c:pt>
                <c:pt idx="1">
                  <c:v>2</c:v>
                </c:pt>
                <c:pt idx="2">
                  <c:v>3</c:v>
                </c:pt>
                <c:pt idx="3">
                  <c:v>4</c:v>
                </c:pt>
                <c:pt idx="4">
                  <c:v>5</c:v>
                </c:pt>
              </c:strCache>
            </c:strRef>
          </c:cat>
          <c:val>
            <c:numRef>
              <c:f>Dashboard_SCT!$L$5:$L$10</c:f>
              <c:numCache>
                <c:formatCode>General</c:formatCode>
                <c:ptCount val="5"/>
                <c:pt idx="0">
                  <c:v>2</c:v>
                </c:pt>
                <c:pt idx="1">
                  <c:v>4</c:v>
                </c:pt>
                <c:pt idx="2">
                  <c:v>2</c:v>
                </c:pt>
                <c:pt idx="3">
                  <c:v>2</c:v>
                </c:pt>
                <c:pt idx="4">
                  <c:v>1</c:v>
                </c:pt>
              </c:numCache>
            </c:numRef>
          </c:val>
          <c:extLst>
            <c:ext xmlns:c16="http://schemas.microsoft.com/office/drawing/2014/chart" uri="{C3380CC4-5D6E-409C-BE32-E72D297353CC}">
              <c16:uniqueId val="{00000000-756E-4AB3-97D7-F5565B42055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[TALBAGO_Evaluation_Maturite_Securite_Cloud.xlsx]Dashboard_Gouvernance!Tableau croisé dynamique4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Gouvernance</a:t>
            </a:r>
            <a:endParaRPr lang="en-US" sz="1400" b="0" i="0" u="none" strike="noStrike" kern="1200" spc="0" baseline="0">
              <a:solidFill>
                <a:srgbClr val="000000">
                  <a:lumMod val="65000"/>
                  <a:lumOff val="35000"/>
                </a:srgbClr>
              </a:solidFill>
            </a:endParaRPr>
          </a:p>
        </c:rich>
      </c:tx>
      <c:layout>
        <c:manualLayout>
          <c:xMode val="edge"/>
          <c:yMode val="edge"/>
          <c:x val="0.15860898941939372"/>
          <c:y val="6.8678915135608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w="19050">
            <a:solidFill>
              <a:schemeClr val="lt1"/>
            </a:solidFill>
          </a:ln>
          <a:effectLst/>
        </c:spPr>
      </c:pivotFmt>
      <c:pivotFmt>
        <c:idx val="4"/>
        <c:spPr>
          <a:solidFill>
            <a:srgbClr val="FFFF00"/>
          </a:solidFill>
          <a:ln w="19050">
            <a:solidFill>
              <a:schemeClr val="lt1"/>
            </a:solidFill>
          </a:ln>
          <a:effectLst/>
        </c:spPr>
      </c:pivotFmt>
      <c:pivotFmt>
        <c:idx val="5"/>
        <c:spPr>
          <a:solidFill>
            <a:schemeClr val="accent3">
              <a:lumMod val="60000"/>
              <a:lumOff val="40000"/>
            </a:schemeClr>
          </a:solidFill>
          <a:ln w="19050">
            <a:solidFill>
              <a:schemeClr val="lt1"/>
            </a:solidFill>
          </a:ln>
          <a:effectLst/>
        </c:spPr>
      </c:pivotFmt>
      <c:pivotFmt>
        <c:idx val="6"/>
        <c:spPr>
          <a:solidFill>
            <a:srgbClr val="00B050"/>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Dashboard_Gouvernance!$D$25</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4-AA11-4F38-A07C-2F66E6A3242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5-AA11-4F38-A07C-2F66E6A32421}"/>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6-AA11-4F38-A07C-2F66E6A32421}"/>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AA11-4F38-A07C-2F66E6A324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6F-48F6-8F03-EF08EF0CACED}"/>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Dashboard_Gouvernance!$C$26:$C$31</c:f>
              <c:strCache>
                <c:ptCount val="5"/>
                <c:pt idx="0">
                  <c:v>1</c:v>
                </c:pt>
                <c:pt idx="1">
                  <c:v>3</c:v>
                </c:pt>
                <c:pt idx="2">
                  <c:v>4</c:v>
                </c:pt>
                <c:pt idx="3">
                  <c:v>5</c:v>
                </c:pt>
                <c:pt idx="4">
                  <c:v>2</c:v>
                </c:pt>
              </c:strCache>
            </c:strRef>
          </c:cat>
          <c:val>
            <c:numRef>
              <c:f>Dashboard_Gouvernance!$D$26:$D$31</c:f>
              <c:numCache>
                <c:formatCode>General</c:formatCode>
                <c:ptCount val="5"/>
                <c:pt idx="0">
                  <c:v>1</c:v>
                </c:pt>
                <c:pt idx="1">
                  <c:v>1</c:v>
                </c:pt>
                <c:pt idx="2">
                  <c:v>3</c:v>
                </c:pt>
                <c:pt idx="3">
                  <c:v>2</c:v>
                </c:pt>
                <c:pt idx="4">
                  <c:v>2</c:v>
                </c:pt>
              </c:numCache>
            </c:numRef>
          </c:val>
          <c:extLst>
            <c:ext xmlns:c16="http://schemas.microsoft.com/office/drawing/2014/chart" uri="{C3380CC4-5D6E-409C-BE32-E72D297353CC}">
              <c16:uniqueId val="{00000003-AA11-4F38-A07C-2F66E6A3242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[TALBAGO_Evaluation_Maturite_Securite_Cloud.xlsx]Dashboard_Gouvernance!Tableau croisé dynamique5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Gouvernance</a:t>
            </a:r>
            <a:endParaRPr lang="en-US" sz="1400" b="0" i="0" u="none" strike="noStrike" kern="1200" spc="0" baseline="0">
              <a:solidFill>
                <a:srgbClr val="000000">
                  <a:lumMod val="65000"/>
                  <a:lumOff val="35000"/>
                </a:srgb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rgbClr val="008796">
              <a:alpha val="7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Dashboard_Gouvernance!$C$5</c:f>
              <c:strCache>
                <c:ptCount val="1"/>
                <c:pt idx="0">
                  <c:v>Total</c:v>
                </c:pt>
              </c:strCache>
            </c:strRef>
          </c:tx>
          <c:spPr>
            <a:solidFill>
              <a:srgbClr val="008796">
                <a:alpha val="76000"/>
              </a:srgbClr>
            </a:solidFill>
            <a:ln>
              <a:noFill/>
            </a:ln>
            <a:effectLst/>
          </c:spPr>
          <c:invertIfNegative val="0"/>
          <c:cat>
            <c:strRef>
              <c:f>Dashboard_Gouvernance!$B$6:$B$15</c:f>
              <c:strCache>
                <c:ptCount val="9"/>
                <c:pt idx="0">
                  <c:v>GOV-02.1</c:v>
                </c:pt>
                <c:pt idx="1">
                  <c:v>GOV-03.1</c:v>
                </c:pt>
                <c:pt idx="2">
                  <c:v>GOV-03.2</c:v>
                </c:pt>
                <c:pt idx="3">
                  <c:v>GOV-03.3</c:v>
                </c:pt>
                <c:pt idx="4">
                  <c:v>GOV-04.1</c:v>
                </c:pt>
                <c:pt idx="5">
                  <c:v>GOV-04.2</c:v>
                </c:pt>
                <c:pt idx="6">
                  <c:v>GOV-04.3</c:v>
                </c:pt>
                <c:pt idx="7">
                  <c:v>GOV-04.4</c:v>
                </c:pt>
                <c:pt idx="8">
                  <c:v>GOV-05.1</c:v>
                </c:pt>
              </c:strCache>
            </c:strRef>
          </c:cat>
          <c:val>
            <c:numRef>
              <c:f>Dashboard_Gouvernance!$C$6:$C$15</c:f>
              <c:numCache>
                <c:formatCode>General</c:formatCode>
                <c:ptCount val="9"/>
                <c:pt idx="0">
                  <c:v>2</c:v>
                </c:pt>
                <c:pt idx="1">
                  <c:v>1</c:v>
                </c:pt>
                <c:pt idx="2">
                  <c:v>5</c:v>
                </c:pt>
                <c:pt idx="3">
                  <c:v>5</c:v>
                </c:pt>
                <c:pt idx="4">
                  <c:v>3</c:v>
                </c:pt>
                <c:pt idx="5">
                  <c:v>2</c:v>
                </c:pt>
                <c:pt idx="6">
                  <c:v>4</c:v>
                </c:pt>
                <c:pt idx="7">
                  <c:v>4</c:v>
                </c:pt>
                <c:pt idx="8">
                  <c:v>4</c:v>
                </c:pt>
              </c:numCache>
            </c:numRef>
          </c:val>
          <c:extLst>
            <c:ext xmlns:c16="http://schemas.microsoft.com/office/drawing/2014/chart" uri="{C3380CC4-5D6E-409C-BE32-E72D297353CC}">
              <c16:uniqueId val="{00000000-8F94-4CCC-B721-0A2E831F75EA}"/>
            </c:ext>
          </c:extLst>
        </c:ser>
        <c:dLbls>
          <c:showLegendKey val="0"/>
          <c:showVal val="0"/>
          <c:showCatName val="0"/>
          <c:showSerName val="0"/>
          <c:showPercent val="0"/>
          <c:showBubbleSize val="0"/>
        </c:dLbls>
        <c:gapWidth val="219"/>
        <c:overlap val="-27"/>
        <c:axId val="1677557311"/>
        <c:axId val="1677556351"/>
      </c:barChart>
      <c:catAx>
        <c:axId val="167755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b="0" i="0" u="none" strike="noStrike" kern="1200" spc="0" baseline="0">
                    <a:solidFill>
                      <a:srgbClr val="000000">
                        <a:lumMod val="65000"/>
                        <a:lumOff val="35000"/>
                      </a:srgbClr>
                    </a:solidFill>
                  </a:rPr>
                  <a:t>Contrôle</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7556351"/>
        <c:crosses val="autoZero"/>
        <c:auto val="1"/>
        <c:lblAlgn val="ctr"/>
        <c:lblOffset val="100"/>
        <c:noMultiLvlLbl val="0"/>
      </c:catAx>
      <c:valAx>
        <c:axId val="1677556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Niveau de maturité</a:t>
                </a:r>
              </a:p>
            </c:rich>
          </c:tx>
          <c:layout>
            <c:manualLayout>
              <c:xMode val="edge"/>
              <c:yMode val="edge"/>
              <c:x val="1.6708437761069339E-2"/>
              <c:y val="0.369274136715997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7755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[TALBAGO_Evaluation_Maturite_Securite_Cloud.xlsx]Dashboard_Gestion organisationn!Tableau croisé dynamique6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Gestion organisationnelle</a:t>
            </a:r>
            <a:endParaRPr lang="en-US" sz="1400" b="0" i="0" u="none" strike="noStrike" kern="1200" spc="0" baseline="0">
              <a:solidFill>
                <a:srgbClr val="000000">
                  <a:lumMod val="65000"/>
                  <a:lumOff val="35000"/>
                </a:srgbClr>
              </a:solidFill>
            </a:endParaRPr>
          </a:p>
          <a:p>
            <a:pPr>
              <a:defRPr/>
            </a:pP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79000"/>
            </a:srgbClr>
          </a:solidFill>
          <a:ln>
            <a:solidFill>
              <a:srgbClr val="000000">
                <a:lumMod val="25000"/>
                <a:lumOff val="7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'Dashboard_Gestion organisationn'!$C$4</c:f>
              <c:strCache>
                <c:ptCount val="1"/>
                <c:pt idx="0">
                  <c:v>Total</c:v>
                </c:pt>
              </c:strCache>
            </c:strRef>
          </c:tx>
          <c:spPr>
            <a:solidFill>
              <a:srgbClr val="008796">
                <a:alpha val="79000"/>
              </a:srgbClr>
            </a:solidFill>
            <a:ln>
              <a:solidFill>
                <a:srgbClr val="000000">
                  <a:lumMod val="25000"/>
                  <a:lumOff val="75000"/>
                </a:srgbClr>
              </a:solidFill>
            </a:ln>
            <a:effectLst/>
          </c:spPr>
          <c:invertIfNegative val="0"/>
          <c:cat>
            <c:strRef>
              <c:f>'Dashboard_Gestion organisationn'!$B$5:$B$12</c:f>
              <c:strCache>
                <c:ptCount val="7"/>
                <c:pt idx="0">
                  <c:v>ORM-02.1</c:v>
                </c:pt>
                <c:pt idx="1">
                  <c:v>ORM-02.2</c:v>
                </c:pt>
                <c:pt idx="2">
                  <c:v>ORM-03.1</c:v>
                </c:pt>
                <c:pt idx="3">
                  <c:v>ORM-03.2</c:v>
                </c:pt>
                <c:pt idx="4">
                  <c:v>ORM-04.1</c:v>
                </c:pt>
                <c:pt idx="5">
                  <c:v>ORM-04.2</c:v>
                </c:pt>
                <c:pt idx="6">
                  <c:v>ORM-05.1</c:v>
                </c:pt>
              </c:strCache>
            </c:strRef>
          </c:cat>
          <c:val>
            <c:numRef>
              <c:f>'Dashboard_Gestion organisationn'!$C$5:$C$12</c:f>
              <c:numCache>
                <c:formatCode>General</c:formatCode>
                <c:ptCount val="7"/>
                <c:pt idx="0">
                  <c:v>4</c:v>
                </c:pt>
                <c:pt idx="1">
                  <c:v>4</c:v>
                </c:pt>
                <c:pt idx="2">
                  <c:v>3</c:v>
                </c:pt>
                <c:pt idx="3">
                  <c:v>5</c:v>
                </c:pt>
                <c:pt idx="4">
                  <c:v>2</c:v>
                </c:pt>
                <c:pt idx="5">
                  <c:v>1</c:v>
                </c:pt>
                <c:pt idx="6">
                  <c:v>4</c:v>
                </c:pt>
              </c:numCache>
            </c:numRef>
          </c:val>
          <c:extLst>
            <c:ext xmlns:c16="http://schemas.microsoft.com/office/drawing/2014/chart" uri="{C3380CC4-5D6E-409C-BE32-E72D297353CC}">
              <c16:uniqueId val="{00000000-AC7E-4E72-9976-AC58C143CB63}"/>
            </c:ext>
          </c:extLst>
        </c:ser>
        <c:dLbls>
          <c:showLegendKey val="0"/>
          <c:showVal val="0"/>
          <c:showCatName val="0"/>
          <c:showSerName val="0"/>
          <c:showPercent val="0"/>
          <c:showBubbleSize val="0"/>
        </c:dLbls>
        <c:gapWidth val="219"/>
        <c:overlap val="-27"/>
        <c:axId val="175908271"/>
        <c:axId val="174385231"/>
      </c:barChart>
      <c:catAx>
        <c:axId val="17590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4385231"/>
        <c:crosses val="autoZero"/>
        <c:auto val="1"/>
        <c:lblAlgn val="ctr"/>
        <c:lblOffset val="100"/>
        <c:noMultiLvlLbl val="0"/>
      </c:catAx>
      <c:valAx>
        <c:axId val="17438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90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[TALBAGO_Evaluation_Maturite_Securite_Cloud.xlsx]Dashboard_Gestion organisationn!Tableau croisé dynamique7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Gestion organisationnelle</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a:noFill/>
          </a:ln>
          <a:effectLst/>
        </c:spPr>
      </c:pivotFmt>
      <c:pivotFmt>
        <c:idx val="2"/>
        <c:spPr>
          <a:solidFill>
            <a:schemeClr val="accent5">
              <a:lumMod val="60000"/>
              <a:lumOff val="40000"/>
            </a:schemeClr>
          </a:solidFill>
          <a:ln>
            <a:noFill/>
          </a:ln>
          <a:effectLst/>
        </c:spPr>
      </c:pivotFmt>
      <c:pivotFmt>
        <c:idx val="3"/>
        <c:spPr>
          <a:solidFill>
            <a:srgbClr val="FFFF00"/>
          </a:solidFill>
          <a:ln>
            <a:noFill/>
          </a:ln>
          <a:effectLst/>
        </c:spPr>
      </c:pivotFmt>
      <c:pivotFmt>
        <c:idx val="4"/>
        <c:spPr>
          <a:solidFill>
            <a:schemeClr val="accent3">
              <a:lumMod val="60000"/>
              <a:lumOff val="40000"/>
            </a:schemeClr>
          </a:solidFill>
          <a:ln>
            <a:noFill/>
          </a:ln>
          <a:effectLst/>
        </c:spPr>
      </c:pivotFmt>
      <c:pivotFmt>
        <c:idx val="5"/>
        <c:spPr>
          <a:solidFill>
            <a:srgbClr val="00B050"/>
          </a:solidFill>
          <a:ln>
            <a:noFill/>
          </a:ln>
          <a:effectLst/>
        </c:spPr>
      </c:pivotFmt>
      <c:pivotFmt>
        <c:idx val="6"/>
        <c:spPr>
          <a:solidFill>
            <a:schemeClr val="tx2">
              <a:lumMod val="40000"/>
              <a:lumOff val="60000"/>
            </a:schemeClr>
          </a:solidFill>
          <a:ln>
            <a:noFill/>
          </a:ln>
          <a:effectLst/>
        </c:spPr>
      </c:pivotFmt>
    </c:pivotFmts>
    <c:plotArea>
      <c:layout/>
      <c:pieChart>
        <c:varyColors val="1"/>
        <c:ser>
          <c:idx val="0"/>
          <c:order val="0"/>
          <c:tx>
            <c:strRef>
              <c:f>'Dashboard_Gestion organisationn'!$J$2</c:f>
              <c:strCache>
                <c:ptCount val="1"/>
                <c:pt idx="0">
                  <c:v>Total</c:v>
                </c:pt>
              </c:strCache>
            </c:strRef>
          </c:tx>
          <c:dPt>
            <c:idx val="0"/>
            <c:bubble3D val="0"/>
            <c:spPr>
              <a:solidFill>
                <a:srgbClr val="FF0000"/>
              </a:solidFill>
              <a:ln>
                <a:noFill/>
              </a:ln>
              <a:effectLst/>
            </c:spPr>
            <c:extLst>
              <c:ext xmlns:c16="http://schemas.microsoft.com/office/drawing/2014/chart" uri="{C3380CC4-5D6E-409C-BE32-E72D297353CC}">
                <c16:uniqueId val="{00000002-3E3B-4CA1-9792-A87145F74FA2}"/>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3E3B-4CA1-9792-A87145F74FA2}"/>
              </c:ext>
            </c:extLst>
          </c:dPt>
          <c:dPt>
            <c:idx val="2"/>
            <c:bubble3D val="0"/>
            <c:spPr>
              <a:solidFill>
                <a:srgbClr val="FFFF00"/>
              </a:solidFill>
              <a:ln>
                <a:noFill/>
              </a:ln>
              <a:effectLst/>
            </c:spPr>
            <c:extLst>
              <c:ext xmlns:c16="http://schemas.microsoft.com/office/drawing/2014/chart" uri="{C3380CC4-5D6E-409C-BE32-E72D297353CC}">
                <c16:uniqueId val="{00000004-3E3B-4CA1-9792-A87145F74FA2}"/>
              </c:ext>
            </c:extLst>
          </c:dPt>
          <c:dPt>
            <c:idx val="3"/>
            <c:bubble3D val="0"/>
            <c:spPr>
              <a:solidFill>
                <a:schemeClr val="accent3">
                  <a:lumMod val="60000"/>
                  <a:lumOff val="40000"/>
                </a:schemeClr>
              </a:solidFill>
              <a:ln>
                <a:noFill/>
              </a:ln>
              <a:effectLst/>
            </c:spPr>
            <c:extLst>
              <c:ext xmlns:c16="http://schemas.microsoft.com/office/drawing/2014/chart" uri="{C3380CC4-5D6E-409C-BE32-E72D297353CC}">
                <c16:uniqueId val="{00000005-3E3B-4CA1-9792-A87145F74FA2}"/>
              </c:ext>
            </c:extLst>
          </c:dPt>
          <c:dPt>
            <c:idx val="4"/>
            <c:bubble3D val="0"/>
            <c:spPr>
              <a:solidFill>
                <a:srgbClr val="00B050"/>
              </a:solidFill>
              <a:ln>
                <a:noFill/>
              </a:ln>
              <a:effectLst/>
            </c:spPr>
            <c:extLst>
              <c:ext xmlns:c16="http://schemas.microsoft.com/office/drawing/2014/chart" uri="{C3380CC4-5D6E-409C-BE32-E72D297353CC}">
                <c16:uniqueId val="{00000006-3E3B-4CA1-9792-A87145F74FA2}"/>
              </c:ext>
            </c:extLst>
          </c:dPt>
          <c:dPt>
            <c:idx val="5"/>
            <c:bubble3D val="0"/>
            <c:spPr>
              <a:solidFill>
                <a:schemeClr val="tx2">
                  <a:lumMod val="40000"/>
                  <a:lumOff val="60000"/>
                </a:schemeClr>
              </a:solidFill>
              <a:ln>
                <a:noFill/>
              </a:ln>
              <a:effectLst/>
            </c:spPr>
            <c:extLst>
              <c:ext xmlns:c16="http://schemas.microsoft.com/office/drawing/2014/chart" uri="{C3380CC4-5D6E-409C-BE32-E72D297353CC}">
                <c16:uniqueId val="{00000007-3E3B-4CA1-9792-A87145F74FA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'Dashboard_Gestion organisationn'!$I$3:$I$9</c:f>
              <c:strCache>
                <c:ptCount val="6"/>
                <c:pt idx="0">
                  <c:v>1</c:v>
                </c:pt>
                <c:pt idx="1">
                  <c:v>2</c:v>
                </c:pt>
                <c:pt idx="2">
                  <c:v>3</c:v>
                </c:pt>
                <c:pt idx="3">
                  <c:v>4</c:v>
                </c:pt>
                <c:pt idx="4">
                  <c:v>5</c:v>
                </c:pt>
                <c:pt idx="5">
                  <c:v>NA</c:v>
                </c:pt>
              </c:strCache>
            </c:strRef>
          </c:cat>
          <c:val>
            <c:numRef>
              <c:f>'Dashboard_Gestion organisationn'!$J$3:$J$9</c:f>
              <c:numCache>
                <c:formatCode>General</c:formatCode>
                <c:ptCount val="6"/>
                <c:pt idx="0">
                  <c:v>1</c:v>
                </c:pt>
                <c:pt idx="1">
                  <c:v>1</c:v>
                </c:pt>
                <c:pt idx="2">
                  <c:v>1</c:v>
                </c:pt>
                <c:pt idx="3">
                  <c:v>1</c:v>
                </c:pt>
                <c:pt idx="4">
                  <c:v>1</c:v>
                </c:pt>
                <c:pt idx="5">
                  <c:v>2</c:v>
                </c:pt>
              </c:numCache>
            </c:numRef>
          </c:val>
          <c:extLst>
            <c:ext xmlns:c16="http://schemas.microsoft.com/office/drawing/2014/chart" uri="{C3380CC4-5D6E-409C-BE32-E72D297353CC}">
              <c16:uniqueId val="{00000000-3E3B-4CA1-9792-A87145F74FA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[TALBAGO_Evaluation_Maturite_Securite_Cloud.xlsx]Dashboard_IAM!Tableau croisé dynamique8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IAM</a:t>
            </a:r>
            <a:endParaRPr lang="en-US" sz="1400" b="0" i="0" u="none" strike="noStrike" kern="1200" spc="0" baseline="0">
              <a:solidFill>
                <a:srgbClr val="000000">
                  <a:lumMod val="65000"/>
                  <a:lumOff val="35000"/>
                </a:srgbClr>
              </a:solidFill>
            </a:endParaRPr>
          </a:p>
          <a:p>
            <a:pPr>
              <a:defRPr/>
            </a:pP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72000"/>
            </a:srgbClr>
          </a:solidFill>
          <a:ln>
            <a:solidFill>
              <a:srgbClr val="000000">
                <a:lumMod val="25000"/>
                <a:lumOff val="75000"/>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Dashboard_IAM!$B$1</c:f>
              <c:strCache>
                <c:ptCount val="1"/>
                <c:pt idx="0">
                  <c:v>Total</c:v>
                </c:pt>
              </c:strCache>
            </c:strRef>
          </c:tx>
          <c:spPr>
            <a:solidFill>
              <a:srgbClr val="008796">
                <a:alpha val="72000"/>
              </a:srgbClr>
            </a:solidFill>
            <a:ln>
              <a:solidFill>
                <a:srgbClr val="000000">
                  <a:lumMod val="25000"/>
                  <a:lumOff val="75000"/>
                  <a:alpha val="97000"/>
                </a:srgbClr>
              </a:solidFill>
            </a:ln>
            <a:effectLst/>
          </c:spPr>
          <c:invertIfNegative val="0"/>
          <c:cat>
            <c:strRef>
              <c:f>Dashboard_IAM!$A$2:$A$9</c:f>
              <c:strCache>
                <c:ptCount val="7"/>
                <c:pt idx="0">
                  <c:v>IAM-02.1</c:v>
                </c:pt>
                <c:pt idx="1">
                  <c:v>IAM-02.2</c:v>
                </c:pt>
                <c:pt idx="2">
                  <c:v>IAM-03.1</c:v>
                </c:pt>
                <c:pt idx="3">
                  <c:v>IAM-03.2</c:v>
                </c:pt>
                <c:pt idx="4">
                  <c:v>IAM-04.1</c:v>
                </c:pt>
                <c:pt idx="5">
                  <c:v>IAM-05.1</c:v>
                </c:pt>
                <c:pt idx="6">
                  <c:v>IAM-05.2</c:v>
                </c:pt>
              </c:strCache>
            </c:strRef>
          </c:cat>
          <c:val>
            <c:numRef>
              <c:f>Dashboard_IAM!$B$2:$B$9</c:f>
              <c:numCache>
                <c:formatCode>General</c:formatCode>
                <c:ptCount val="7"/>
                <c:pt idx="0">
                  <c:v>2</c:v>
                </c:pt>
                <c:pt idx="1">
                  <c:v>4</c:v>
                </c:pt>
                <c:pt idx="2">
                  <c:v>3</c:v>
                </c:pt>
                <c:pt idx="3">
                  <c:v>1</c:v>
                </c:pt>
                <c:pt idx="4">
                  <c:v>3</c:v>
                </c:pt>
                <c:pt idx="5">
                  <c:v>5</c:v>
                </c:pt>
                <c:pt idx="6">
                  <c:v>4</c:v>
                </c:pt>
              </c:numCache>
            </c:numRef>
          </c:val>
          <c:extLst>
            <c:ext xmlns:c16="http://schemas.microsoft.com/office/drawing/2014/chart" uri="{C3380CC4-5D6E-409C-BE32-E72D297353CC}">
              <c16:uniqueId val="{00000000-BC75-4FB2-B082-2189D2090843}"/>
            </c:ext>
          </c:extLst>
        </c:ser>
        <c:dLbls>
          <c:showLegendKey val="0"/>
          <c:showVal val="0"/>
          <c:showCatName val="0"/>
          <c:showSerName val="0"/>
          <c:showPercent val="0"/>
          <c:showBubbleSize val="0"/>
        </c:dLbls>
        <c:gapWidth val="219"/>
        <c:overlap val="-27"/>
        <c:axId val="257532959"/>
        <c:axId val="257533439"/>
      </c:barChart>
      <c:catAx>
        <c:axId val="2575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57533439"/>
        <c:crosses val="autoZero"/>
        <c:auto val="1"/>
        <c:lblAlgn val="ctr"/>
        <c:lblOffset val="100"/>
        <c:noMultiLvlLbl val="0"/>
      </c:catAx>
      <c:valAx>
        <c:axId val="25753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5753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[TALBAGO_Evaluation_Maturite_Securite_Cloud.xlsx]Dashboard_IAM!Tableau croisé dynamique9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IAM</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Dashboard_IAM!$K$4</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2-E055-4FD6-A91B-C3300037D351}"/>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E055-4FD6-A91B-C3300037D351}"/>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E055-4FD6-A91B-C3300037D351}"/>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E055-4FD6-A91B-C3300037D351}"/>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E055-4FD6-A91B-C3300037D351}"/>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Dashboard_IAM!$J$5:$J$10</c:f>
              <c:strCache>
                <c:ptCount val="5"/>
                <c:pt idx="0">
                  <c:v>1</c:v>
                </c:pt>
                <c:pt idx="1">
                  <c:v>2</c:v>
                </c:pt>
                <c:pt idx="2">
                  <c:v>3</c:v>
                </c:pt>
                <c:pt idx="3">
                  <c:v>5</c:v>
                </c:pt>
                <c:pt idx="4">
                  <c:v>4</c:v>
                </c:pt>
              </c:strCache>
            </c:strRef>
          </c:cat>
          <c:val>
            <c:numRef>
              <c:f>Dashboard_IAM!$K$5:$K$10</c:f>
              <c:numCache>
                <c:formatCode>General</c:formatCode>
                <c:ptCount val="5"/>
                <c:pt idx="0">
                  <c:v>1</c:v>
                </c:pt>
                <c:pt idx="1">
                  <c:v>2</c:v>
                </c:pt>
                <c:pt idx="2">
                  <c:v>1</c:v>
                </c:pt>
                <c:pt idx="3">
                  <c:v>1</c:v>
                </c:pt>
                <c:pt idx="4">
                  <c:v>1</c:v>
                </c:pt>
              </c:numCache>
            </c:numRef>
          </c:val>
          <c:extLst>
            <c:ext xmlns:c16="http://schemas.microsoft.com/office/drawing/2014/chart" uri="{C3380CC4-5D6E-409C-BE32-E72D297353CC}">
              <c16:uniqueId val="{00000000-E055-4FD6-A91B-C3300037D35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[TALBAGO_Evaluation_Maturite_Securite_Cloud.xlsx]Dashboard_supervisionSec!Tableau croisé dynamique10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Supervision de la sécurité</a:t>
            </a:r>
            <a:endParaRPr lang="en-US" sz="1400" b="0" i="0" u="none" strike="noStrike" kern="1200" spc="0" baseline="0">
              <a:solidFill>
                <a:srgbClr val="000000">
                  <a:lumMod val="65000"/>
                  <a:lumOff val="35000"/>
                </a:srgbClr>
              </a:solidFill>
            </a:endParaRPr>
          </a:p>
          <a:p>
            <a:pPr>
              <a:defRPr/>
            </a:pP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78000"/>
            </a:srgbClr>
          </a:solidFill>
          <a:ln>
            <a:solidFill>
              <a:srgbClr val="000000">
                <a:lumMod val="25000"/>
                <a:lumOff val="75000"/>
                <a:alpha val="71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Dashboard_supervisionSec!$C$4</c:f>
              <c:strCache>
                <c:ptCount val="1"/>
                <c:pt idx="0">
                  <c:v>Total</c:v>
                </c:pt>
              </c:strCache>
            </c:strRef>
          </c:tx>
          <c:spPr>
            <a:solidFill>
              <a:srgbClr val="008796">
                <a:alpha val="78000"/>
              </a:srgbClr>
            </a:solidFill>
            <a:ln>
              <a:solidFill>
                <a:srgbClr val="000000">
                  <a:lumMod val="25000"/>
                  <a:lumOff val="75000"/>
                  <a:alpha val="71000"/>
                </a:srgbClr>
              </a:solidFill>
            </a:ln>
            <a:effectLst/>
          </c:spPr>
          <c:invertIfNegative val="0"/>
          <c:cat>
            <c:strRef>
              <c:f>Dashboard_supervisionSec!$B$5:$B$12</c:f>
              <c:strCache>
                <c:ptCount val="7"/>
                <c:pt idx="0">
                  <c:v>LOG-02.1</c:v>
                </c:pt>
                <c:pt idx="1">
                  <c:v>LOG-03.1</c:v>
                </c:pt>
                <c:pt idx="2">
                  <c:v>LOG-03.2</c:v>
                </c:pt>
                <c:pt idx="3">
                  <c:v>LOG-04.1</c:v>
                </c:pt>
                <c:pt idx="4">
                  <c:v>LOG-04.2</c:v>
                </c:pt>
                <c:pt idx="5">
                  <c:v>LOG-05.1</c:v>
                </c:pt>
                <c:pt idx="6">
                  <c:v>LOG-05.2</c:v>
                </c:pt>
              </c:strCache>
            </c:strRef>
          </c:cat>
          <c:val>
            <c:numRef>
              <c:f>Dashboard_supervisionSec!$C$5:$C$12</c:f>
              <c:numCache>
                <c:formatCode>General</c:formatCode>
                <c:ptCount val="7"/>
                <c:pt idx="0">
                  <c:v>5</c:v>
                </c:pt>
                <c:pt idx="1">
                  <c:v>1</c:v>
                </c:pt>
                <c:pt idx="2">
                  <c:v>2</c:v>
                </c:pt>
                <c:pt idx="3">
                  <c:v>5</c:v>
                </c:pt>
                <c:pt idx="4">
                  <c:v>4</c:v>
                </c:pt>
                <c:pt idx="5">
                  <c:v>3</c:v>
                </c:pt>
                <c:pt idx="6">
                  <c:v>2</c:v>
                </c:pt>
              </c:numCache>
            </c:numRef>
          </c:val>
          <c:extLst>
            <c:ext xmlns:c16="http://schemas.microsoft.com/office/drawing/2014/chart" uri="{C3380CC4-5D6E-409C-BE32-E72D297353CC}">
              <c16:uniqueId val="{00000000-18EA-44C1-85B3-6EEAC9277769}"/>
            </c:ext>
          </c:extLst>
        </c:ser>
        <c:dLbls>
          <c:showLegendKey val="0"/>
          <c:showVal val="0"/>
          <c:showCatName val="0"/>
          <c:showSerName val="0"/>
          <c:showPercent val="0"/>
          <c:showBubbleSize val="0"/>
        </c:dLbls>
        <c:gapWidth val="219"/>
        <c:overlap val="-27"/>
        <c:axId val="1710564543"/>
        <c:axId val="1710565023"/>
      </c:barChart>
      <c:catAx>
        <c:axId val="17105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0565023"/>
        <c:crosses val="autoZero"/>
        <c:auto val="1"/>
        <c:lblAlgn val="ctr"/>
        <c:lblOffset val="100"/>
        <c:noMultiLvlLbl val="0"/>
      </c:catAx>
      <c:valAx>
        <c:axId val="171056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056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[TALBAGO_Evaluation_Maturite_Securite_Cloud.xlsx]Dashboard_supervisionSec!Tableau croisé dynamique11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Supervision de la sécurité</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Dashboard_supervisionSec!$M$6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D-497C-86DA-C6D7145F14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D-497C-86DA-C6D7145F14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BD-497C-86DA-C6D7145F14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BD-497C-86DA-C6D7145F14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0BD-497C-86DA-C6D7145F142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Dashboard_supervisionSec!$L$7:$L$12</c:f>
              <c:strCache>
                <c:ptCount val="5"/>
                <c:pt idx="0">
                  <c:v>2</c:v>
                </c:pt>
                <c:pt idx="1">
                  <c:v>3</c:v>
                </c:pt>
                <c:pt idx="2">
                  <c:v>4</c:v>
                </c:pt>
                <c:pt idx="3">
                  <c:v>5</c:v>
                </c:pt>
                <c:pt idx="4">
                  <c:v>1</c:v>
                </c:pt>
              </c:strCache>
            </c:strRef>
          </c:cat>
          <c:val>
            <c:numRef>
              <c:f>Dashboard_supervisionSec!$M$7:$M$12</c:f>
              <c:numCache>
                <c:formatCode>General</c:formatCode>
                <c:ptCount val="5"/>
                <c:pt idx="0">
                  <c:v>2</c:v>
                </c:pt>
                <c:pt idx="1">
                  <c:v>1</c:v>
                </c:pt>
                <c:pt idx="2">
                  <c:v>1</c:v>
                </c:pt>
                <c:pt idx="3">
                  <c:v>2</c:v>
                </c:pt>
                <c:pt idx="4">
                  <c:v>1</c:v>
                </c:pt>
              </c:numCache>
            </c:numRef>
          </c:val>
          <c:extLst>
            <c:ext xmlns:c16="http://schemas.microsoft.com/office/drawing/2014/chart" uri="{C3380CC4-5D6E-409C-BE32-E72D297353CC}">
              <c16:uniqueId val="{00000000-D6CC-4283-A56F-7D0883F07CA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[TALBAGO_Evaluation_Maturite_Securite_Cloud.xlsx]Dashboard_sécuritéDonnées!Tableau croisé dynamique17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Sécurité des données</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Dashboard_sécuritéDonnées!$B$1</c:f>
              <c:strCache>
                <c:ptCount val="1"/>
                <c:pt idx="0">
                  <c:v>Total</c:v>
                </c:pt>
              </c:strCache>
            </c:strRef>
          </c:tx>
          <c:spPr>
            <a:solidFill>
              <a:srgbClr val="008796">
                <a:alpha val="60000"/>
              </a:srgbClr>
            </a:solidFill>
            <a:ln>
              <a:noFill/>
            </a:ln>
            <a:effectLst/>
          </c:spPr>
          <c:invertIfNegative val="0"/>
          <c:cat>
            <c:strRef>
              <c:f>Dashboard_sécuritéDonnées!$A$2:$A$10</c:f>
              <c:strCache>
                <c:ptCount val="8"/>
                <c:pt idx="0">
                  <c:v>DAT-02.1</c:v>
                </c:pt>
                <c:pt idx="1">
                  <c:v>DAT-02.2</c:v>
                </c:pt>
                <c:pt idx="2">
                  <c:v>DAT-03.1</c:v>
                </c:pt>
                <c:pt idx="3">
                  <c:v>DAT-03.2</c:v>
                </c:pt>
                <c:pt idx="4">
                  <c:v>DAT-04.1</c:v>
                </c:pt>
                <c:pt idx="5">
                  <c:v>DAT-04.2</c:v>
                </c:pt>
                <c:pt idx="6">
                  <c:v>DAT-05.1</c:v>
                </c:pt>
                <c:pt idx="7">
                  <c:v>DAT-05.2</c:v>
                </c:pt>
              </c:strCache>
            </c:strRef>
          </c:cat>
          <c:val>
            <c:numRef>
              <c:f>Dashboard_sécuritéDonnées!$B$2:$B$10</c:f>
              <c:numCache>
                <c:formatCode>General</c:formatCode>
                <c:ptCount val="8"/>
                <c:pt idx="0">
                  <c:v>1</c:v>
                </c:pt>
                <c:pt idx="1">
                  <c:v>3</c:v>
                </c:pt>
                <c:pt idx="2">
                  <c:v>3</c:v>
                </c:pt>
                <c:pt idx="3">
                  <c:v>4</c:v>
                </c:pt>
                <c:pt idx="4">
                  <c:v>5</c:v>
                </c:pt>
                <c:pt idx="5">
                  <c:v>2</c:v>
                </c:pt>
                <c:pt idx="6">
                  <c:v>2</c:v>
                </c:pt>
                <c:pt idx="7">
                  <c:v>3</c:v>
                </c:pt>
              </c:numCache>
            </c:numRef>
          </c:val>
          <c:extLst>
            <c:ext xmlns:c16="http://schemas.microsoft.com/office/drawing/2014/chart" uri="{C3380CC4-5D6E-409C-BE32-E72D297353CC}">
              <c16:uniqueId val="{00000000-E1A9-4D3A-A68F-64DD7DA62BD4}"/>
            </c:ext>
          </c:extLst>
        </c:ser>
        <c:dLbls>
          <c:showLegendKey val="0"/>
          <c:showVal val="0"/>
          <c:showCatName val="0"/>
          <c:showSerName val="0"/>
          <c:showPercent val="0"/>
          <c:showBubbleSize val="0"/>
        </c:dLbls>
        <c:gapWidth val="219"/>
        <c:overlap val="-27"/>
        <c:axId val="129012719"/>
        <c:axId val="129013199"/>
      </c:barChart>
      <c:catAx>
        <c:axId val="12901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9013199"/>
        <c:crosses val="autoZero"/>
        <c:auto val="1"/>
        <c:lblAlgn val="ctr"/>
        <c:lblOffset val="100"/>
        <c:noMultiLvlLbl val="0"/>
      </c:catAx>
      <c:valAx>
        <c:axId val="12901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901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[TALBAGO_Evaluation_Maturite_Securite_Cloud.xlsx]Dashboard_sécuritéDonnées!Tableau croisé dynamique18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Sécurité des données</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Dashboard_sécuritéDonnées!$K$3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2-17DF-43CD-924B-46B85F0D69B8}"/>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17DF-43CD-924B-46B85F0D69B8}"/>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17DF-43CD-924B-46B85F0D69B8}"/>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17DF-43CD-924B-46B85F0D69B8}"/>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17DF-43CD-924B-46B85F0D69B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Dashboard_sécuritéDonnées!$J$4:$J$9</c:f>
              <c:strCache>
                <c:ptCount val="5"/>
                <c:pt idx="0">
                  <c:v>1</c:v>
                </c:pt>
                <c:pt idx="1">
                  <c:v>2</c:v>
                </c:pt>
                <c:pt idx="2">
                  <c:v>3</c:v>
                </c:pt>
                <c:pt idx="3">
                  <c:v>4</c:v>
                </c:pt>
                <c:pt idx="4">
                  <c:v>5</c:v>
                </c:pt>
              </c:strCache>
            </c:strRef>
          </c:cat>
          <c:val>
            <c:numRef>
              <c:f>Dashboard_sécuritéDonnées!$K$4:$K$9</c:f>
              <c:numCache>
                <c:formatCode>General</c:formatCode>
                <c:ptCount val="5"/>
                <c:pt idx="0">
                  <c:v>1</c:v>
                </c:pt>
                <c:pt idx="1">
                  <c:v>2</c:v>
                </c:pt>
                <c:pt idx="2">
                  <c:v>3</c:v>
                </c:pt>
                <c:pt idx="3">
                  <c:v>1</c:v>
                </c:pt>
                <c:pt idx="4">
                  <c:v>1</c:v>
                </c:pt>
              </c:numCache>
            </c:numRef>
          </c:val>
          <c:extLst>
            <c:ext xmlns:c16="http://schemas.microsoft.com/office/drawing/2014/chart" uri="{C3380CC4-5D6E-409C-BE32-E72D297353CC}">
              <c16:uniqueId val="{00000000-17DF-43CD-924B-46B85F0D69B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[TALBAGO_Evaluation_Maturite_Securite_Cloud.xlsx]Dashboard_AR!Tableau croisé dynamique21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Analyse des risques</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77000"/>
            </a:srgbClr>
          </a:solidFill>
          <a:ln>
            <a:solidFill>
              <a:srgbClr val="000000">
                <a:lumMod val="25000"/>
                <a:lumOff val="75000"/>
                <a:alpha val="6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Dashboard_AR!$B$1</c:f>
              <c:strCache>
                <c:ptCount val="1"/>
                <c:pt idx="0">
                  <c:v>Total</c:v>
                </c:pt>
              </c:strCache>
            </c:strRef>
          </c:tx>
          <c:spPr>
            <a:solidFill>
              <a:srgbClr val="008796">
                <a:alpha val="77000"/>
              </a:srgbClr>
            </a:solidFill>
            <a:ln>
              <a:solidFill>
                <a:srgbClr val="000000">
                  <a:lumMod val="25000"/>
                  <a:lumOff val="75000"/>
                  <a:alpha val="60000"/>
                </a:srgbClr>
              </a:solidFill>
            </a:ln>
            <a:effectLst/>
          </c:spPr>
          <c:invertIfNegative val="0"/>
          <c:cat>
            <c:strRef>
              <c:f>Dashboard_AR!$A$2:$A$8</c:f>
              <c:strCache>
                <c:ptCount val="6"/>
                <c:pt idx="0">
                  <c:v>RSK-02.1</c:v>
                </c:pt>
                <c:pt idx="1">
                  <c:v>RSK-03.1</c:v>
                </c:pt>
                <c:pt idx="2">
                  <c:v>RSK-04.1</c:v>
                </c:pt>
                <c:pt idx="3">
                  <c:v>RSK-04.2</c:v>
                </c:pt>
                <c:pt idx="4">
                  <c:v>RSK-05.1</c:v>
                </c:pt>
                <c:pt idx="5">
                  <c:v>RSK-05.2</c:v>
                </c:pt>
              </c:strCache>
            </c:strRef>
          </c:cat>
          <c:val>
            <c:numRef>
              <c:f>Dashboard_AR!$B$2:$B$8</c:f>
              <c:numCache>
                <c:formatCode>General</c:formatCode>
                <c:ptCount val="6"/>
                <c:pt idx="0">
                  <c:v>1</c:v>
                </c:pt>
                <c:pt idx="1">
                  <c:v>5</c:v>
                </c:pt>
                <c:pt idx="2">
                  <c:v>4</c:v>
                </c:pt>
                <c:pt idx="3">
                  <c:v>3</c:v>
                </c:pt>
                <c:pt idx="4">
                  <c:v>2</c:v>
                </c:pt>
                <c:pt idx="5">
                  <c:v>3</c:v>
                </c:pt>
              </c:numCache>
            </c:numRef>
          </c:val>
          <c:extLst>
            <c:ext xmlns:c16="http://schemas.microsoft.com/office/drawing/2014/chart" uri="{C3380CC4-5D6E-409C-BE32-E72D297353CC}">
              <c16:uniqueId val="{00000000-AEBC-4D17-8DDA-09094D1F0C5D}"/>
            </c:ext>
          </c:extLst>
        </c:ser>
        <c:dLbls>
          <c:showLegendKey val="0"/>
          <c:showVal val="0"/>
          <c:showCatName val="0"/>
          <c:showSerName val="0"/>
          <c:showPercent val="0"/>
          <c:showBubbleSize val="0"/>
        </c:dLbls>
        <c:gapWidth val="219"/>
        <c:overlap val="-27"/>
        <c:axId val="243021407"/>
        <c:axId val="243030047"/>
      </c:barChart>
      <c:catAx>
        <c:axId val="24302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3030047"/>
        <c:crosses val="autoZero"/>
        <c:auto val="1"/>
        <c:lblAlgn val="ctr"/>
        <c:lblOffset val="100"/>
        <c:noMultiLvlLbl val="0"/>
      </c:catAx>
      <c:valAx>
        <c:axId val="24303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302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[TALBAGO_Evaluation_Maturite_Securite_Cloud.xlsx]Dashboard_AR!Tableau croisé dynamique22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Analyse des risques</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Dashboard_AR!$K$2</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648B-410B-ACCC-4C1DADBBCB07}"/>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4-648B-410B-ACCC-4C1DADBBCB07}"/>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648B-410B-ACCC-4C1DADBBCB07}"/>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6-648B-410B-ACCC-4C1DADBBCB07}"/>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2-648B-410B-ACCC-4C1DADBBCB07}"/>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Dashboard_AR!$J$3:$J$8</c:f>
              <c:strCache>
                <c:ptCount val="5"/>
                <c:pt idx="0">
                  <c:v>2</c:v>
                </c:pt>
                <c:pt idx="1">
                  <c:v>3</c:v>
                </c:pt>
                <c:pt idx="2">
                  <c:v>4</c:v>
                </c:pt>
                <c:pt idx="3">
                  <c:v>5</c:v>
                </c:pt>
                <c:pt idx="4">
                  <c:v>1</c:v>
                </c:pt>
              </c:strCache>
            </c:strRef>
          </c:cat>
          <c:val>
            <c:numRef>
              <c:f>Dashboard_AR!$K$3:$K$8</c:f>
              <c:numCache>
                <c:formatCode>General</c:formatCode>
                <c:ptCount val="5"/>
                <c:pt idx="0">
                  <c:v>1</c:v>
                </c:pt>
                <c:pt idx="1">
                  <c:v>2</c:v>
                </c:pt>
                <c:pt idx="2">
                  <c:v>1</c:v>
                </c:pt>
                <c:pt idx="3">
                  <c:v>1</c:v>
                </c:pt>
                <c:pt idx="4">
                  <c:v>1</c:v>
                </c:pt>
              </c:numCache>
            </c:numRef>
          </c:val>
          <c:extLst>
            <c:ext xmlns:c16="http://schemas.microsoft.com/office/drawing/2014/chart" uri="{C3380CC4-5D6E-409C-BE32-E72D297353CC}">
              <c16:uniqueId val="{00000000-648B-410B-ACCC-4C1DADBBCB0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[TALBAGO_Evaluation_Maturite_Securite_Cloud.xlsx]Dashboard_Resilience!Tableau croisé dynamique24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Résilience</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Dashboard_Resilience!$L$2</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6424-4FEE-AB29-96834941F73F}"/>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4-6424-4FEE-AB29-96834941F73F}"/>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6424-4FEE-AB29-96834941F73F}"/>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2-6424-4FEE-AB29-96834941F73F}"/>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6424-4FEE-AB29-96834941F73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Dashboard_Resilience!$K$3:$K$8</c:f>
              <c:strCache>
                <c:ptCount val="5"/>
                <c:pt idx="0">
                  <c:v>2</c:v>
                </c:pt>
                <c:pt idx="1">
                  <c:v>3</c:v>
                </c:pt>
                <c:pt idx="2">
                  <c:v>4</c:v>
                </c:pt>
                <c:pt idx="3">
                  <c:v>1</c:v>
                </c:pt>
                <c:pt idx="4">
                  <c:v>5</c:v>
                </c:pt>
              </c:strCache>
            </c:strRef>
          </c:cat>
          <c:val>
            <c:numRef>
              <c:f>Dashboard_Resilience!$L$3:$L$8</c:f>
              <c:numCache>
                <c:formatCode>General</c:formatCode>
                <c:ptCount val="5"/>
                <c:pt idx="0">
                  <c:v>2</c:v>
                </c:pt>
                <c:pt idx="1">
                  <c:v>2</c:v>
                </c:pt>
                <c:pt idx="2">
                  <c:v>2</c:v>
                </c:pt>
                <c:pt idx="3">
                  <c:v>1</c:v>
                </c:pt>
                <c:pt idx="4">
                  <c:v>1</c:v>
                </c:pt>
              </c:numCache>
            </c:numRef>
          </c:val>
          <c:extLst>
            <c:ext xmlns:c16="http://schemas.microsoft.com/office/drawing/2014/chart" uri="{C3380CC4-5D6E-409C-BE32-E72D297353CC}">
              <c16:uniqueId val="{00000000-6424-4FEE-AB29-96834941F73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[TALBAGO_Evaluation_Maturite_Securite_Cloud.xlsx]Dashboard_Resilience!Tableau croisé dynamique23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Résilience</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81000"/>
            </a:srgbClr>
          </a:solidFill>
          <a:ln>
            <a:solidFill>
              <a:srgbClr val="000000">
                <a:lumMod val="25000"/>
                <a:lumOff val="75000"/>
                <a:alpha val="2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Dashboard_Resilience!$B$1</c:f>
              <c:strCache>
                <c:ptCount val="1"/>
                <c:pt idx="0">
                  <c:v>Total</c:v>
                </c:pt>
              </c:strCache>
            </c:strRef>
          </c:tx>
          <c:spPr>
            <a:solidFill>
              <a:srgbClr val="008796">
                <a:alpha val="81000"/>
              </a:srgbClr>
            </a:solidFill>
            <a:ln>
              <a:solidFill>
                <a:srgbClr val="000000">
                  <a:lumMod val="25000"/>
                  <a:lumOff val="75000"/>
                  <a:alpha val="25000"/>
                </a:srgbClr>
              </a:solidFill>
            </a:ln>
            <a:effectLst/>
          </c:spPr>
          <c:invertIfNegative val="0"/>
          <c:cat>
            <c:strRef>
              <c:f>Dashboard_Resilience!$A$2:$A$10</c:f>
              <c:strCache>
                <c:ptCount val="8"/>
                <c:pt idx="0">
                  <c:v>BCR-02.1</c:v>
                </c:pt>
                <c:pt idx="1">
                  <c:v>BCR-03.1</c:v>
                </c:pt>
                <c:pt idx="2">
                  <c:v>BCR-03.2</c:v>
                </c:pt>
                <c:pt idx="3">
                  <c:v>BCR-04.1</c:v>
                </c:pt>
                <c:pt idx="4">
                  <c:v>BCR-04.2</c:v>
                </c:pt>
                <c:pt idx="5">
                  <c:v>BCR-04.3</c:v>
                </c:pt>
                <c:pt idx="6">
                  <c:v>BCR-05.1</c:v>
                </c:pt>
                <c:pt idx="7">
                  <c:v>BCR-05.2</c:v>
                </c:pt>
              </c:strCache>
            </c:strRef>
          </c:cat>
          <c:val>
            <c:numRef>
              <c:f>Dashboard_Resilience!$B$2:$B$10</c:f>
              <c:numCache>
                <c:formatCode>General</c:formatCode>
                <c:ptCount val="8"/>
                <c:pt idx="0">
                  <c:v>3</c:v>
                </c:pt>
                <c:pt idx="1">
                  <c:v>1</c:v>
                </c:pt>
                <c:pt idx="2">
                  <c:v>5</c:v>
                </c:pt>
                <c:pt idx="3">
                  <c:v>4</c:v>
                </c:pt>
                <c:pt idx="4">
                  <c:v>2</c:v>
                </c:pt>
                <c:pt idx="5">
                  <c:v>2</c:v>
                </c:pt>
                <c:pt idx="6">
                  <c:v>3</c:v>
                </c:pt>
                <c:pt idx="7">
                  <c:v>4</c:v>
                </c:pt>
              </c:numCache>
            </c:numRef>
          </c:val>
          <c:extLst>
            <c:ext xmlns:c16="http://schemas.microsoft.com/office/drawing/2014/chart" uri="{C3380CC4-5D6E-409C-BE32-E72D297353CC}">
              <c16:uniqueId val="{00000000-2DC5-4E0E-A924-E86EF6F1C035}"/>
            </c:ext>
          </c:extLst>
        </c:ser>
        <c:dLbls>
          <c:showLegendKey val="0"/>
          <c:showVal val="0"/>
          <c:showCatName val="0"/>
          <c:showSerName val="0"/>
          <c:showPercent val="0"/>
          <c:showBubbleSize val="0"/>
        </c:dLbls>
        <c:gapWidth val="219"/>
        <c:overlap val="-27"/>
        <c:axId val="1698866175"/>
        <c:axId val="1698865215"/>
      </c:barChart>
      <c:catAx>
        <c:axId val="16988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8865215"/>
        <c:crosses val="autoZero"/>
        <c:auto val="1"/>
        <c:lblAlgn val="ctr"/>
        <c:lblOffset val="100"/>
        <c:noMultiLvlLbl val="0"/>
      </c:catAx>
      <c:valAx>
        <c:axId val="169886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886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[TALBAGO_Evaluation_Maturite_Securite_Cloud.xlsx]Dashboard_conformité!Tableau croisé dynamique25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Niveau de maturité par contrôle – Conformité</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69000"/>
            </a:srgbClr>
          </a:solidFill>
          <a:ln>
            <a:solidFill>
              <a:srgbClr val="000000">
                <a:lumMod val="25000"/>
                <a:lumOff val="75000"/>
                <a:alpha val="6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Dashboard_conformité!$B$1</c:f>
              <c:strCache>
                <c:ptCount val="1"/>
                <c:pt idx="0">
                  <c:v>Total</c:v>
                </c:pt>
              </c:strCache>
            </c:strRef>
          </c:tx>
          <c:spPr>
            <a:solidFill>
              <a:srgbClr val="008796">
                <a:alpha val="69000"/>
              </a:srgbClr>
            </a:solidFill>
            <a:ln>
              <a:solidFill>
                <a:srgbClr val="000000">
                  <a:lumMod val="25000"/>
                  <a:lumOff val="75000"/>
                  <a:alpha val="65000"/>
                </a:srgbClr>
              </a:solidFill>
            </a:ln>
            <a:effectLst/>
          </c:spPr>
          <c:invertIfNegative val="0"/>
          <c:cat>
            <c:strRef>
              <c:f>Dashboard_conformité!$A$2:$A$8</c:f>
              <c:strCache>
                <c:ptCount val="6"/>
                <c:pt idx="0">
                  <c:v>CA-02.1</c:v>
                </c:pt>
                <c:pt idx="1">
                  <c:v>CA-03.1</c:v>
                </c:pt>
                <c:pt idx="2">
                  <c:v>CA-03.2</c:v>
                </c:pt>
                <c:pt idx="3">
                  <c:v>CA-04.1</c:v>
                </c:pt>
                <c:pt idx="4">
                  <c:v>CA-04.2</c:v>
                </c:pt>
                <c:pt idx="5">
                  <c:v>CA-05.1</c:v>
                </c:pt>
              </c:strCache>
            </c:strRef>
          </c:cat>
          <c:val>
            <c:numRef>
              <c:f>Dashboard_conformité!$B$2:$B$8</c:f>
              <c:numCache>
                <c:formatCode>General</c:formatCode>
                <c:ptCount val="6"/>
                <c:pt idx="0">
                  <c:v>5</c:v>
                </c:pt>
                <c:pt idx="1">
                  <c:v>2</c:v>
                </c:pt>
                <c:pt idx="2">
                  <c:v>3</c:v>
                </c:pt>
                <c:pt idx="3">
                  <c:v>1</c:v>
                </c:pt>
                <c:pt idx="4">
                  <c:v>4</c:v>
                </c:pt>
                <c:pt idx="5">
                  <c:v>1</c:v>
                </c:pt>
              </c:numCache>
            </c:numRef>
          </c:val>
          <c:extLst>
            <c:ext xmlns:c16="http://schemas.microsoft.com/office/drawing/2014/chart" uri="{C3380CC4-5D6E-409C-BE32-E72D297353CC}">
              <c16:uniqueId val="{00000000-FBC3-4C2D-B864-80C311C9D65B}"/>
            </c:ext>
          </c:extLst>
        </c:ser>
        <c:dLbls>
          <c:showLegendKey val="0"/>
          <c:showVal val="0"/>
          <c:showCatName val="0"/>
          <c:showSerName val="0"/>
          <c:showPercent val="0"/>
          <c:showBubbleSize val="0"/>
        </c:dLbls>
        <c:gapWidth val="219"/>
        <c:overlap val="-27"/>
        <c:axId val="662094367"/>
        <c:axId val="662078047"/>
      </c:barChart>
      <c:catAx>
        <c:axId val="66209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62078047"/>
        <c:crosses val="autoZero"/>
        <c:auto val="1"/>
        <c:lblAlgn val="ctr"/>
        <c:lblOffset val="100"/>
        <c:noMultiLvlLbl val="0"/>
      </c:catAx>
      <c:valAx>
        <c:axId val="66207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6209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[TALBAGO_Evaluation_Maturite_Securite_Cloud.xlsx]Dashboard_conformité!Tableau croisé dynamique26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rgbClr val="000000">
                    <a:lumMod val="65000"/>
                    <a:lumOff val="35000"/>
                  </a:srgbClr>
                </a:solidFill>
              </a:rPr>
              <a:t>Distribution des niveaux de maturité – Conformité</a:t>
            </a:r>
            <a:endParaRPr lang="en-US" sz="14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Dashboard_conformité!$L$5</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2-CF2B-4B60-9BDC-F97E9815CDC0}"/>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CF2B-4B60-9BDC-F97E9815CDC0}"/>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CF2B-4B60-9BDC-F97E9815CDC0}"/>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CF2B-4B60-9BDC-F97E9815CDC0}"/>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CF2B-4B60-9BDC-F97E9815CDC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Dashboard_conformité!$K$6:$K$11</c:f>
              <c:strCache>
                <c:ptCount val="5"/>
                <c:pt idx="0">
                  <c:v>1</c:v>
                </c:pt>
                <c:pt idx="1">
                  <c:v>2</c:v>
                </c:pt>
                <c:pt idx="2">
                  <c:v>3</c:v>
                </c:pt>
                <c:pt idx="3">
                  <c:v>4</c:v>
                </c:pt>
                <c:pt idx="4">
                  <c:v>5</c:v>
                </c:pt>
              </c:strCache>
            </c:strRef>
          </c:cat>
          <c:val>
            <c:numRef>
              <c:f>Dashboard_conformité!$L$6:$L$11</c:f>
              <c:numCache>
                <c:formatCode>General</c:formatCode>
                <c:ptCount val="5"/>
                <c:pt idx="0">
                  <c:v>2</c:v>
                </c:pt>
                <c:pt idx="1">
                  <c:v>1</c:v>
                </c:pt>
                <c:pt idx="2">
                  <c:v>1</c:v>
                </c:pt>
                <c:pt idx="3">
                  <c:v>1</c:v>
                </c:pt>
                <c:pt idx="4">
                  <c:v>1</c:v>
                </c:pt>
              </c:numCache>
            </c:numRef>
          </c:val>
          <c:extLst>
            <c:ext xmlns:c16="http://schemas.microsoft.com/office/drawing/2014/chart" uri="{C3380CC4-5D6E-409C-BE32-E72D297353CC}">
              <c16:uniqueId val="{00000000-CF2B-4B60-9BDC-F97E9815CDC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[TALBAGO_Evaluation_Maturite_Securite_Cloud.xlsx]Dashboard_GIS!Tableau croisé dynamique27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b="0" i="0" u="none" strike="noStrike" kern="1200" spc="0" baseline="0">
                <a:solidFill>
                  <a:srgbClr val="000000">
                    <a:lumMod val="65000"/>
                    <a:lumOff val="35000"/>
                  </a:srgbClr>
                </a:solidFill>
              </a:rPr>
              <a:t>Niveau de maturité par contrôle – Gestion des incidents de sécurité</a:t>
            </a:r>
            <a:endParaRPr lang="en-US" sz="12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5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Dashboard_GIS!$B$1</c:f>
              <c:strCache>
                <c:ptCount val="1"/>
                <c:pt idx="0">
                  <c:v>Total</c:v>
                </c:pt>
              </c:strCache>
            </c:strRef>
          </c:tx>
          <c:spPr>
            <a:solidFill>
              <a:srgbClr val="008796">
                <a:alpha val="58000"/>
              </a:srgbClr>
            </a:solidFill>
            <a:ln>
              <a:noFill/>
            </a:ln>
            <a:effectLst/>
          </c:spPr>
          <c:invertIfNegative val="0"/>
          <c:cat>
            <c:strRef>
              <c:f>Dashboard_GIS!$A$2:$A$10</c:f>
              <c:strCache>
                <c:ptCount val="8"/>
                <c:pt idx="0">
                  <c:v>IR-02.1</c:v>
                </c:pt>
                <c:pt idx="1">
                  <c:v>IR-03.1</c:v>
                </c:pt>
                <c:pt idx="2">
                  <c:v>IR-03.2</c:v>
                </c:pt>
                <c:pt idx="3">
                  <c:v>IR-04.1</c:v>
                </c:pt>
                <c:pt idx="4">
                  <c:v>IR-04.2</c:v>
                </c:pt>
                <c:pt idx="5">
                  <c:v>IR-04.3</c:v>
                </c:pt>
                <c:pt idx="6">
                  <c:v>IR-05.1</c:v>
                </c:pt>
                <c:pt idx="7">
                  <c:v>IR-05.2</c:v>
                </c:pt>
              </c:strCache>
            </c:strRef>
          </c:cat>
          <c:val>
            <c:numRef>
              <c:f>Dashboard_GIS!$B$2:$B$10</c:f>
              <c:numCache>
                <c:formatCode>General</c:formatCode>
                <c:ptCount val="8"/>
                <c:pt idx="0">
                  <c:v>1</c:v>
                </c:pt>
                <c:pt idx="1">
                  <c:v>4</c:v>
                </c:pt>
                <c:pt idx="2">
                  <c:v>3</c:v>
                </c:pt>
                <c:pt idx="3">
                  <c:v>4</c:v>
                </c:pt>
                <c:pt idx="4">
                  <c:v>5</c:v>
                </c:pt>
                <c:pt idx="5">
                  <c:v>2</c:v>
                </c:pt>
                <c:pt idx="6">
                  <c:v>2</c:v>
                </c:pt>
                <c:pt idx="7">
                  <c:v>1</c:v>
                </c:pt>
              </c:numCache>
            </c:numRef>
          </c:val>
          <c:extLst>
            <c:ext xmlns:c16="http://schemas.microsoft.com/office/drawing/2014/chart" uri="{C3380CC4-5D6E-409C-BE32-E72D297353CC}">
              <c16:uniqueId val="{00000000-19AF-4FCA-96AC-5822532377C7}"/>
            </c:ext>
          </c:extLst>
        </c:ser>
        <c:dLbls>
          <c:showLegendKey val="0"/>
          <c:showVal val="0"/>
          <c:showCatName val="0"/>
          <c:showSerName val="0"/>
          <c:showPercent val="0"/>
          <c:showBubbleSize val="0"/>
        </c:dLbls>
        <c:gapWidth val="219"/>
        <c:overlap val="-27"/>
        <c:axId val="364101743"/>
        <c:axId val="364104143"/>
      </c:barChart>
      <c:catAx>
        <c:axId val="36410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4104143"/>
        <c:crosses val="autoZero"/>
        <c:auto val="1"/>
        <c:lblAlgn val="ctr"/>
        <c:lblOffset val="100"/>
        <c:noMultiLvlLbl val="0"/>
      </c:catAx>
      <c:valAx>
        <c:axId val="36410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410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[TALBAGO_Evaluation_Maturite_Securite_Cloud.xlsx]Dashboard_GIS!Tableau croisé dynamique28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b="0" i="0" u="none" strike="noStrike" kern="1200" spc="0" baseline="0">
                <a:solidFill>
                  <a:srgbClr val="000000">
                    <a:lumMod val="65000"/>
                    <a:lumOff val="35000"/>
                  </a:srgbClr>
                </a:solidFill>
              </a:rPr>
              <a:t>Distribution des niveaux de maturité – Gestion des incidents de sécurité</a:t>
            </a:r>
            <a:endParaRPr lang="en-US" sz="12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Dashboard_GIS!$L$2</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231B-4837-8939-17695289D903}"/>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231B-4837-8939-17695289D903}"/>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231B-4837-8939-17695289D903}"/>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231B-4837-8939-17695289D903}"/>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231B-4837-8939-17695289D90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Dashboard_GIS!$K$3:$K$8</c:f>
              <c:strCache>
                <c:ptCount val="5"/>
                <c:pt idx="0">
                  <c:v>1</c:v>
                </c:pt>
                <c:pt idx="1">
                  <c:v>2</c:v>
                </c:pt>
                <c:pt idx="2">
                  <c:v>3</c:v>
                </c:pt>
                <c:pt idx="3">
                  <c:v>4</c:v>
                </c:pt>
                <c:pt idx="4">
                  <c:v>5</c:v>
                </c:pt>
              </c:strCache>
            </c:strRef>
          </c:cat>
          <c:val>
            <c:numRef>
              <c:f>Dashboard_GIS!$L$3:$L$8</c:f>
              <c:numCache>
                <c:formatCode>General</c:formatCode>
                <c:ptCount val="5"/>
                <c:pt idx="0">
                  <c:v>2</c:v>
                </c:pt>
                <c:pt idx="1">
                  <c:v>2</c:v>
                </c:pt>
                <c:pt idx="2">
                  <c:v>1</c:v>
                </c:pt>
                <c:pt idx="3">
                  <c:v>2</c:v>
                </c:pt>
                <c:pt idx="4">
                  <c:v>1</c:v>
                </c:pt>
              </c:numCache>
            </c:numRef>
          </c:val>
          <c:extLst>
            <c:ext xmlns:c16="http://schemas.microsoft.com/office/drawing/2014/chart" uri="{C3380CC4-5D6E-409C-BE32-E72D297353CC}">
              <c16:uniqueId val="{00000000-231B-4837-8939-17695289D90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[TALBAGO_Evaluation_Maturite_Securite_Cloud.xlsx]Dashboard_secuApp!Tableau croisé dynamique19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200" b="0" i="0" u="none" strike="noStrike" kern="1200" spc="0" baseline="0">
                <a:solidFill>
                  <a:srgbClr val="000000">
                    <a:lumMod val="65000"/>
                    <a:lumOff val="35000"/>
                  </a:srgbClr>
                </a:solidFill>
              </a:rPr>
              <a:t>Niveau de maturité par contrôle – Sécurité </a:t>
            </a:r>
            <a:r>
              <a:rPr lang="fr-FR" sz="1100" b="0" i="0" u="none" strike="noStrike" kern="1200" spc="0" baseline="0">
                <a:solidFill>
                  <a:srgbClr val="000000">
                    <a:lumMod val="65000"/>
                    <a:lumOff val="35000"/>
                  </a:srgbClr>
                </a:solidFill>
              </a:rPr>
              <a:t>Applicative</a:t>
            </a:r>
            <a:endParaRPr lang="en-US" sz="1200" b="0" i="0" u="none" strike="noStrike" kern="1200" spc="0" baseline="0">
              <a:solidFill>
                <a:srgbClr val="000000">
                  <a:lumMod val="65000"/>
                  <a:lumOff val="35000"/>
                </a:srgb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796">
              <a:alpha val="73000"/>
            </a:srgbClr>
          </a:solidFill>
          <a:ln>
            <a:solidFill>
              <a:srgbClr val="000000">
                <a:lumMod val="25000"/>
                <a:lumOff val="7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Dashboard_secuApp!$B$1</c:f>
              <c:strCache>
                <c:ptCount val="1"/>
                <c:pt idx="0">
                  <c:v>Total</c:v>
                </c:pt>
              </c:strCache>
            </c:strRef>
          </c:tx>
          <c:spPr>
            <a:solidFill>
              <a:srgbClr val="008796">
                <a:alpha val="73000"/>
              </a:srgbClr>
            </a:solidFill>
            <a:ln>
              <a:solidFill>
                <a:srgbClr val="000000">
                  <a:lumMod val="25000"/>
                  <a:lumOff val="75000"/>
                </a:srgbClr>
              </a:solidFill>
            </a:ln>
            <a:effectLst/>
          </c:spPr>
          <c:invertIfNegative val="0"/>
          <c:cat>
            <c:strRef>
              <c:f>Dashboard_secuApp!$A$2:$A$12</c:f>
              <c:strCache>
                <c:ptCount val="10"/>
                <c:pt idx="0">
                  <c:v>APP-02.1</c:v>
                </c:pt>
                <c:pt idx="1">
                  <c:v>APP-03.1</c:v>
                </c:pt>
                <c:pt idx="2">
                  <c:v>APP-03.2</c:v>
                </c:pt>
                <c:pt idx="3">
                  <c:v>APP-03.3</c:v>
                </c:pt>
                <c:pt idx="4">
                  <c:v>APP-03.4</c:v>
                </c:pt>
                <c:pt idx="5">
                  <c:v>APP-04.1</c:v>
                </c:pt>
                <c:pt idx="6">
                  <c:v>APP-04.2</c:v>
                </c:pt>
                <c:pt idx="7">
                  <c:v>APP-04.3</c:v>
                </c:pt>
                <c:pt idx="8">
                  <c:v>APP-05.1</c:v>
                </c:pt>
                <c:pt idx="9">
                  <c:v>APP-05.2</c:v>
                </c:pt>
              </c:strCache>
            </c:strRef>
          </c:cat>
          <c:val>
            <c:numRef>
              <c:f>Dashboard_secuApp!$B$2:$B$12</c:f>
              <c:numCache>
                <c:formatCode>General</c:formatCode>
                <c:ptCount val="10"/>
                <c:pt idx="0">
                  <c:v>2</c:v>
                </c:pt>
                <c:pt idx="1">
                  <c:v>1</c:v>
                </c:pt>
                <c:pt idx="2">
                  <c:v>4</c:v>
                </c:pt>
                <c:pt idx="3">
                  <c:v>4</c:v>
                </c:pt>
                <c:pt idx="4">
                  <c:v>5</c:v>
                </c:pt>
                <c:pt idx="5">
                  <c:v>4</c:v>
                </c:pt>
                <c:pt idx="6">
                  <c:v>4</c:v>
                </c:pt>
                <c:pt idx="7">
                  <c:v>3</c:v>
                </c:pt>
                <c:pt idx="8">
                  <c:v>3</c:v>
                </c:pt>
                <c:pt idx="9">
                  <c:v>4</c:v>
                </c:pt>
              </c:numCache>
            </c:numRef>
          </c:val>
          <c:extLst>
            <c:ext xmlns:c16="http://schemas.microsoft.com/office/drawing/2014/chart" uri="{C3380CC4-5D6E-409C-BE32-E72D297353CC}">
              <c16:uniqueId val="{00000000-9687-45AC-AF69-4AE36DC18BBB}"/>
            </c:ext>
          </c:extLst>
        </c:ser>
        <c:dLbls>
          <c:showLegendKey val="0"/>
          <c:showVal val="0"/>
          <c:showCatName val="0"/>
          <c:showSerName val="0"/>
          <c:showPercent val="0"/>
          <c:showBubbleSize val="0"/>
        </c:dLbls>
        <c:gapWidth val="219"/>
        <c:overlap val="-27"/>
        <c:axId val="1341995183"/>
        <c:axId val="1341991823"/>
      </c:barChart>
      <c:catAx>
        <c:axId val="134199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1991823"/>
        <c:crosses val="autoZero"/>
        <c:auto val="1"/>
        <c:lblAlgn val="ctr"/>
        <c:lblOffset val="100"/>
        <c:noMultiLvlLbl val="0"/>
      </c:catAx>
      <c:valAx>
        <c:axId val="134199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199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[TALBAGO_Evaluation_Maturite_Securite_Cloud.xlsx]Dashboard_secuApp!Tableau croisé dynamique20</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b="0" i="0" u="none" strike="noStrike" kern="1200" spc="0" baseline="0">
                <a:solidFill>
                  <a:srgbClr val="000000">
                    <a:lumMod val="65000"/>
                    <a:lumOff val="35000"/>
                  </a:srgbClr>
                </a:solidFill>
              </a:rPr>
              <a:t>Distribution des niveaux de maturité – Sécurité Applicative</a:t>
            </a:r>
            <a:endParaRPr lang="en-US" sz="1200" b="0" i="0" u="none" strike="noStrike" kern="1200" spc="0" baseline="0">
              <a:solidFill>
                <a:srgbClr val="000000">
                  <a:lumMod val="65000"/>
                  <a:lumOff val="35000"/>
                </a:srgbClr>
              </a:solidFill>
            </a:endParaRPr>
          </a:p>
        </c:rich>
      </c:tx>
      <c:layout>
        <c:manualLayout>
          <c:xMode val="edge"/>
          <c:yMode val="edge"/>
          <c:x val="0.16426406926406925"/>
          <c:y val="4.89156107882680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3">
              <a:lumMod val="60000"/>
              <a:lumOff val="40000"/>
            </a:schemeClr>
          </a:solidFill>
          <a:ln w="19050">
            <a:solidFill>
              <a:schemeClr val="lt1"/>
            </a:solidFill>
          </a:ln>
          <a:effectLst/>
        </c:spPr>
      </c:pivotFmt>
      <c:pivotFmt>
        <c:idx val="5"/>
        <c:spPr>
          <a:solidFill>
            <a:srgbClr val="00B050"/>
          </a:solidFill>
          <a:ln w="19050">
            <a:solidFill>
              <a:schemeClr val="lt1"/>
            </a:solidFill>
          </a:ln>
          <a:effectLst/>
        </c:spPr>
      </c:pivotFmt>
    </c:pivotFmts>
    <c:plotArea>
      <c:layout/>
      <c:pieChart>
        <c:varyColors val="1"/>
        <c:ser>
          <c:idx val="0"/>
          <c:order val="0"/>
          <c:tx>
            <c:strRef>
              <c:f>Dashboard_secuApp!$M$6</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2-9FE7-49D7-8227-09FB2AF18ACF}"/>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9FE7-49D7-8227-09FB2AF18ACF}"/>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9FE7-49D7-8227-09FB2AF18ACF}"/>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9FE7-49D7-8227-09FB2AF18ACF}"/>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6-9FE7-49D7-8227-09FB2AF18AC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Dashboard_secuApp!$L$7:$L$12</c:f>
              <c:strCache>
                <c:ptCount val="5"/>
                <c:pt idx="0">
                  <c:v>1</c:v>
                </c:pt>
                <c:pt idx="1">
                  <c:v>2</c:v>
                </c:pt>
                <c:pt idx="2">
                  <c:v>3</c:v>
                </c:pt>
                <c:pt idx="3">
                  <c:v>4</c:v>
                </c:pt>
                <c:pt idx="4">
                  <c:v>5</c:v>
                </c:pt>
              </c:strCache>
            </c:strRef>
          </c:cat>
          <c:val>
            <c:numRef>
              <c:f>Dashboard_secuApp!$M$7:$M$12</c:f>
              <c:numCache>
                <c:formatCode>General</c:formatCode>
                <c:ptCount val="5"/>
                <c:pt idx="0">
                  <c:v>1</c:v>
                </c:pt>
                <c:pt idx="1">
                  <c:v>1</c:v>
                </c:pt>
                <c:pt idx="2">
                  <c:v>2</c:v>
                </c:pt>
                <c:pt idx="3">
                  <c:v>5</c:v>
                </c:pt>
                <c:pt idx="4">
                  <c:v>1</c:v>
                </c:pt>
              </c:numCache>
            </c:numRef>
          </c:val>
          <c:extLst>
            <c:ext xmlns:c16="http://schemas.microsoft.com/office/drawing/2014/chart" uri="{C3380CC4-5D6E-409C-BE32-E72D297353CC}">
              <c16:uniqueId val="{00000000-9FE7-49D7-8227-09FB2AF18AC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b="0"/>
              <a:t>Évaluation globale de la maturité des domaines de sécurité</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rgbClr val="008796"/>
            </a:solidFill>
            <a:ln>
              <a:noFill/>
            </a:ln>
            <a:effectLst/>
          </c:spPr>
          <c:invertIfNegative val="0"/>
          <c:cat>
            <c:strRef>
              <c:f>evaluation_globale!$A$1:$A$12</c:f>
              <c:strCache>
                <c:ptCount val="12"/>
                <c:pt idx="0">
                  <c:v>Gouvernance</c:v>
                </c:pt>
                <c:pt idx="1">
                  <c:v>Gestion organisationnelle</c:v>
                </c:pt>
                <c:pt idx="2">
                  <c:v>IAM</c:v>
                </c:pt>
                <c:pt idx="3">
                  <c:v>Supervision de la sécurité</c:v>
                </c:pt>
                <c:pt idx="4">
                  <c:v>Sécurité réseaux</c:v>
                </c:pt>
                <c:pt idx="5">
                  <c:v>Sécurité des charges de travail</c:v>
                </c:pt>
                <c:pt idx="6">
                  <c:v>Sécurité des Données</c:v>
                </c:pt>
                <c:pt idx="7">
                  <c:v>Sécurité des Applications</c:v>
                </c:pt>
                <c:pt idx="8">
                  <c:v>Analyse des Risques</c:v>
                </c:pt>
                <c:pt idx="9">
                  <c:v>Réslience </c:v>
                </c:pt>
                <c:pt idx="10">
                  <c:v>Conformité</c:v>
                </c:pt>
                <c:pt idx="11">
                  <c:v>Gestion des incidents</c:v>
                </c:pt>
              </c:strCache>
            </c:strRef>
          </c:cat>
          <c:val>
            <c:numRef>
              <c:f>evaluation_globale!$B$1:$B$12</c:f>
              <c:numCache>
                <c:formatCode>General</c:formatCode>
                <c:ptCount val="12"/>
                <c:pt idx="0">
                  <c:v>3.5555555555555554</c:v>
                </c:pt>
                <c:pt idx="1">
                  <c:v>3.2857142857142856</c:v>
                </c:pt>
                <c:pt idx="2">
                  <c:v>3.1428571428571428</c:v>
                </c:pt>
                <c:pt idx="3">
                  <c:v>3.1428571428571428</c:v>
                </c:pt>
                <c:pt idx="4">
                  <c:v>2.8333333333333335</c:v>
                </c:pt>
                <c:pt idx="5">
                  <c:v>2.6363636363636362</c:v>
                </c:pt>
                <c:pt idx="6">
                  <c:v>3.25</c:v>
                </c:pt>
                <c:pt idx="7">
                  <c:v>3.4</c:v>
                </c:pt>
                <c:pt idx="8">
                  <c:v>3</c:v>
                </c:pt>
                <c:pt idx="9">
                  <c:v>3</c:v>
                </c:pt>
                <c:pt idx="10">
                  <c:v>2.6666666666666665</c:v>
                </c:pt>
                <c:pt idx="11">
                  <c:v>2.75</c:v>
                </c:pt>
              </c:numCache>
            </c:numRef>
          </c:val>
          <c:extLst>
            <c:ext xmlns:c16="http://schemas.microsoft.com/office/drawing/2014/chart" uri="{C3380CC4-5D6E-409C-BE32-E72D297353CC}">
              <c16:uniqueId val="{00000000-5E33-4DCB-9D54-8D55C04831C0}"/>
            </c:ext>
          </c:extLst>
        </c:ser>
        <c:dLbls>
          <c:showLegendKey val="0"/>
          <c:showVal val="0"/>
          <c:showCatName val="0"/>
          <c:showSerName val="0"/>
          <c:showPercent val="0"/>
          <c:showBubbleSize val="0"/>
        </c:dLbls>
        <c:gapWidth val="182"/>
        <c:axId val="560649519"/>
        <c:axId val="560644239"/>
      </c:barChart>
      <c:catAx>
        <c:axId val="56064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0644239"/>
        <c:crosses val="autoZero"/>
        <c:auto val="1"/>
        <c:lblAlgn val="ctr"/>
        <c:lblOffset val="100"/>
        <c:noMultiLvlLbl val="0"/>
      </c:catAx>
      <c:valAx>
        <c:axId val="56064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0649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fr-FR" sz="1200" b="0" i="0" u="none" strike="noStrike" kern="1200" spc="0" baseline="0">
                <a:solidFill>
                  <a:srgbClr val="000000">
                    <a:lumMod val="65000"/>
                    <a:lumOff val="35000"/>
                  </a:srgbClr>
                </a:solidFill>
              </a:rPr>
              <a:t>Évaluation globale de la maturité des domaines de sécurité</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spPr>
            <a:ln w="28575" cap="rnd">
              <a:solidFill>
                <a:schemeClr val="accent1"/>
              </a:solidFill>
              <a:round/>
            </a:ln>
            <a:effectLst/>
          </c:spPr>
          <c:marker>
            <c:symbol val="none"/>
          </c:marker>
          <c:cat>
            <c:strRef>
              <c:f>evaluation_globale!$A$1:$A$12</c:f>
              <c:strCache>
                <c:ptCount val="12"/>
                <c:pt idx="0">
                  <c:v>Gouvernance</c:v>
                </c:pt>
                <c:pt idx="1">
                  <c:v>Gestion organisationnelle</c:v>
                </c:pt>
                <c:pt idx="2">
                  <c:v>IAM</c:v>
                </c:pt>
                <c:pt idx="3">
                  <c:v>Supervision de la sécurité</c:v>
                </c:pt>
                <c:pt idx="4">
                  <c:v>Sécurité réseaux</c:v>
                </c:pt>
                <c:pt idx="5">
                  <c:v>Sécurité des charges de travail</c:v>
                </c:pt>
                <c:pt idx="6">
                  <c:v>Sécurité des Données</c:v>
                </c:pt>
                <c:pt idx="7">
                  <c:v>Sécurité des Applications</c:v>
                </c:pt>
                <c:pt idx="8">
                  <c:v>Analyse des Risques</c:v>
                </c:pt>
                <c:pt idx="9">
                  <c:v>Réslience </c:v>
                </c:pt>
                <c:pt idx="10">
                  <c:v>Conformité</c:v>
                </c:pt>
                <c:pt idx="11">
                  <c:v>Gestion des incidents</c:v>
                </c:pt>
              </c:strCache>
            </c:strRef>
          </c:cat>
          <c:val>
            <c:numRef>
              <c:f>evaluation_globale!$B$1:$B$12</c:f>
              <c:numCache>
                <c:formatCode>General</c:formatCode>
                <c:ptCount val="12"/>
                <c:pt idx="0">
                  <c:v>3.5555555555555554</c:v>
                </c:pt>
                <c:pt idx="1">
                  <c:v>3.2857142857142856</c:v>
                </c:pt>
                <c:pt idx="2">
                  <c:v>3.1428571428571428</c:v>
                </c:pt>
                <c:pt idx="3">
                  <c:v>3.1428571428571428</c:v>
                </c:pt>
                <c:pt idx="4">
                  <c:v>2.8333333333333335</c:v>
                </c:pt>
                <c:pt idx="5">
                  <c:v>2.6363636363636362</c:v>
                </c:pt>
                <c:pt idx="6">
                  <c:v>3.25</c:v>
                </c:pt>
                <c:pt idx="7">
                  <c:v>3.4</c:v>
                </c:pt>
                <c:pt idx="8">
                  <c:v>3</c:v>
                </c:pt>
                <c:pt idx="9">
                  <c:v>3</c:v>
                </c:pt>
                <c:pt idx="10">
                  <c:v>2.6666666666666665</c:v>
                </c:pt>
                <c:pt idx="11">
                  <c:v>2.75</c:v>
                </c:pt>
              </c:numCache>
            </c:numRef>
          </c:val>
          <c:extLst>
            <c:ext xmlns:c16="http://schemas.microsoft.com/office/drawing/2014/chart" uri="{C3380CC4-5D6E-409C-BE32-E72D297353CC}">
              <c16:uniqueId val="{00000000-32A3-4098-A030-3747BB553679}"/>
            </c:ext>
          </c:extLst>
        </c:ser>
        <c:dLbls>
          <c:showLegendKey val="0"/>
          <c:showVal val="0"/>
          <c:showCatName val="0"/>
          <c:showSerName val="0"/>
          <c:showPercent val="0"/>
          <c:showBubbleSize val="0"/>
        </c:dLbls>
        <c:axId val="1634179871"/>
        <c:axId val="460746591"/>
      </c:radarChart>
      <c:catAx>
        <c:axId val="16341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0746591"/>
        <c:crosses val="autoZero"/>
        <c:auto val="1"/>
        <c:lblAlgn val="ctr"/>
        <c:lblOffset val="100"/>
        <c:noMultiLvlLbl val="0"/>
      </c:catAx>
      <c:valAx>
        <c:axId val="46074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417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449580</xdr:colOff>
      <xdr:row>0</xdr:row>
      <xdr:rowOff>60960</xdr:rowOff>
    </xdr:from>
    <xdr:to>
      <xdr:col>8</xdr:col>
      <xdr:colOff>632460</xdr:colOff>
      <xdr:row>21</xdr:row>
      <xdr:rowOff>68580</xdr:rowOff>
    </xdr:to>
    <xdr:graphicFrame macro="">
      <xdr:nvGraphicFramePr>
        <xdr:cNvPr id="2" name="Graphique 1">
          <a:extLst>
            <a:ext uri="{FF2B5EF4-FFF2-40B4-BE49-F238E27FC236}">
              <a16:creationId xmlns:a16="http://schemas.microsoft.com/office/drawing/2014/main" id="{7C930A14-90B6-8504-FCD6-A7E70E649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xdr:colOff>
      <xdr:row>0</xdr:row>
      <xdr:rowOff>30480</xdr:rowOff>
    </xdr:from>
    <xdr:to>
      <xdr:col>17</xdr:col>
      <xdr:colOff>350520</xdr:colOff>
      <xdr:row>21</xdr:row>
      <xdr:rowOff>99060</xdr:rowOff>
    </xdr:to>
    <xdr:graphicFrame macro="">
      <xdr:nvGraphicFramePr>
        <xdr:cNvPr id="3" name="Graphique 2">
          <a:extLst>
            <a:ext uri="{FF2B5EF4-FFF2-40B4-BE49-F238E27FC236}">
              <a16:creationId xmlns:a16="http://schemas.microsoft.com/office/drawing/2014/main" id="{6F97FB50-0E0B-45CA-F21A-746101405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0</xdr:row>
      <xdr:rowOff>22860</xdr:rowOff>
    </xdr:from>
    <xdr:to>
      <xdr:col>8</xdr:col>
      <xdr:colOff>289560</xdr:colOff>
      <xdr:row>19</xdr:row>
      <xdr:rowOff>0</xdr:rowOff>
    </xdr:to>
    <xdr:graphicFrame macro="">
      <xdr:nvGraphicFramePr>
        <xdr:cNvPr id="2" name="Graphique 1">
          <a:extLst>
            <a:ext uri="{FF2B5EF4-FFF2-40B4-BE49-F238E27FC236}">
              <a16:creationId xmlns:a16="http://schemas.microsoft.com/office/drawing/2014/main" id="{5132AA3D-58C6-CD4A-B197-A256B2CF2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777240</xdr:colOff>
      <xdr:row>0</xdr:row>
      <xdr:rowOff>0</xdr:rowOff>
    </xdr:from>
    <xdr:to>
      <xdr:col>16</xdr:col>
      <xdr:colOff>609600</xdr:colOff>
      <xdr:row>18</xdr:row>
      <xdr:rowOff>144780</xdr:rowOff>
    </xdr:to>
    <xdr:graphicFrame macro="">
      <xdr:nvGraphicFramePr>
        <xdr:cNvPr id="3" name="Graphique 2">
          <a:extLst>
            <a:ext uri="{FF2B5EF4-FFF2-40B4-BE49-F238E27FC236}">
              <a16:creationId xmlns:a16="http://schemas.microsoft.com/office/drawing/2014/main" id="{42C6E7CE-47BA-2744-0D79-88B191C48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1082040</xdr:colOff>
      <xdr:row>0</xdr:row>
      <xdr:rowOff>0</xdr:rowOff>
    </xdr:from>
    <xdr:to>
      <xdr:col>14</xdr:col>
      <xdr:colOff>327660</xdr:colOff>
      <xdr:row>19</xdr:row>
      <xdr:rowOff>114300</xdr:rowOff>
    </xdr:to>
    <xdr:graphicFrame macro="">
      <xdr:nvGraphicFramePr>
        <xdr:cNvPr id="3" name="Graphique 2">
          <a:extLst>
            <a:ext uri="{FF2B5EF4-FFF2-40B4-BE49-F238E27FC236}">
              <a16:creationId xmlns:a16="http://schemas.microsoft.com/office/drawing/2014/main" id="{9C711090-5CE4-09A3-B3B8-FD7512DCC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xdr:col>
      <xdr:colOff>1600200</xdr:colOff>
      <xdr:row>19</xdr:row>
      <xdr:rowOff>83820</xdr:rowOff>
    </xdr:to>
    <xdr:graphicFrame macro="">
      <xdr:nvGraphicFramePr>
        <xdr:cNvPr id="5" name="Graphique 4">
          <a:extLst>
            <a:ext uri="{FF2B5EF4-FFF2-40B4-BE49-F238E27FC236}">
              <a16:creationId xmlns:a16="http://schemas.microsoft.com/office/drawing/2014/main" id="{F7A3C6F0-C7C3-1334-D4C2-13A905BB1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0</xdr:rowOff>
    </xdr:from>
    <xdr:to>
      <xdr:col>7</xdr:col>
      <xdr:colOff>365760</xdr:colOff>
      <xdr:row>18</xdr:row>
      <xdr:rowOff>83820</xdr:rowOff>
    </xdr:to>
    <xdr:graphicFrame macro="">
      <xdr:nvGraphicFramePr>
        <xdr:cNvPr id="2" name="Graphique 1">
          <a:extLst>
            <a:ext uri="{FF2B5EF4-FFF2-40B4-BE49-F238E27FC236}">
              <a16:creationId xmlns:a16="http://schemas.microsoft.com/office/drawing/2014/main" id="{484F215A-2CA3-AEBC-A065-C87DFBD53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746760</xdr:colOff>
      <xdr:row>0</xdr:row>
      <xdr:rowOff>0</xdr:rowOff>
    </xdr:from>
    <xdr:to>
      <xdr:col>14</xdr:col>
      <xdr:colOff>472440</xdr:colOff>
      <xdr:row>18</xdr:row>
      <xdr:rowOff>83820</xdr:rowOff>
    </xdr:to>
    <xdr:graphicFrame macro="">
      <xdr:nvGraphicFramePr>
        <xdr:cNvPr id="3" name="Graphique 2">
          <a:extLst>
            <a:ext uri="{FF2B5EF4-FFF2-40B4-BE49-F238E27FC236}">
              <a16:creationId xmlns:a16="http://schemas.microsoft.com/office/drawing/2014/main" id="{E57BE01B-5B5D-8BAB-46E0-9DA5ECDB9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18</xdr:row>
      <xdr:rowOff>60960</xdr:rowOff>
    </xdr:to>
    <xdr:graphicFrame macro="">
      <xdr:nvGraphicFramePr>
        <xdr:cNvPr id="2" name="Graphique 1">
          <a:extLst>
            <a:ext uri="{FF2B5EF4-FFF2-40B4-BE49-F238E27FC236}">
              <a16:creationId xmlns:a16="http://schemas.microsoft.com/office/drawing/2014/main" id="{2224F917-7F90-6109-3C82-D94DF1DFE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327660</xdr:colOff>
      <xdr:row>0</xdr:row>
      <xdr:rowOff>0</xdr:rowOff>
    </xdr:from>
    <xdr:to>
      <xdr:col>15</xdr:col>
      <xdr:colOff>548640</xdr:colOff>
      <xdr:row>18</xdr:row>
      <xdr:rowOff>38100</xdr:rowOff>
    </xdr:to>
    <xdr:graphicFrame macro="">
      <xdr:nvGraphicFramePr>
        <xdr:cNvPr id="3" name="Graphique 2">
          <a:extLst>
            <a:ext uri="{FF2B5EF4-FFF2-40B4-BE49-F238E27FC236}">
              <a16:creationId xmlns:a16="http://schemas.microsoft.com/office/drawing/2014/main" id="{D24EF583-08E1-69C7-5C13-3EBA0F291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15240</xdr:rowOff>
    </xdr:from>
    <xdr:to>
      <xdr:col>7</xdr:col>
      <xdr:colOff>769620</xdr:colOff>
      <xdr:row>21</xdr:row>
      <xdr:rowOff>7620</xdr:rowOff>
    </xdr:to>
    <xdr:graphicFrame macro="">
      <xdr:nvGraphicFramePr>
        <xdr:cNvPr id="2" name="Graphique 1">
          <a:extLst>
            <a:ext uri="{FF2B5EF4-FFF2-40B4-BE49-F238E27FC236}">
              <a16:creationId xmlns:a16="http://schemas.microsoft.com/office/drawing/2014/main" id="{DB844ED0-F79B-081C-EAB1-9B828FA28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1516380</xdr:colOff>
      <xdr:row>0</xdr:row>
      <xdr:rowOff>0</xdr:rowOff>
    </xdr:from>
    <xdr:to>
      <xdr:col>14</xdr:col>
      <xdr:colOff>777240</xdr:colOff>
      <xdr:row>20</xdr:row>
      <xdr:rowOff>160020</xdr:rowOff>
    </xdr:to>
    <xdr:graphicFrame macro="">
      <xdr:nvGraphicFramePr>
        <xdr:cNvPr id="3" name="Graphique 2">
          <a:extLst>
            <a:ext uri="{FF2B5EF4-FFF2-40B4-BE49-F238E27FC236}">
              <a16:creationId xmlns:a16="http://schemas.microsoft.com/office/drawing/2014/main" id="{065B4AC6-1815-3FCC-C74A-A4E8A2ACE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784860</xdr:colOff>
      <xdr:row>18</xdr:row>
      <xdr:rowOff>91440</xdr:rowOff>
    </xdr:to>
    <xdr:graphicFrame macro="">
      <xdr:nvGraphicFramePr>
        <xdr:cNvPr id="2" name="Graphique 1">
          <a:extLst>
            <a:ext uri="{FF2B5EF4-FFF2-40B4-BE49-F238E27FC236}">
              <a16:creationId xmlns:a16="http://schemas.microsoft.com/office/drawing/2014/main" id="{B42AC375-C992-C133-8DF7-5B4A4F24F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396240</xdr:colOff>
      <xdr:row>0</xdr:row>
      <xdr:rowOff>22860</xdr:rowOff>
    </xdr:from>
    <xdr:to>
      <xdr:col>16</xdr:col>
      <xdr:colOff>121920</xdr:colOff>
      <xdr:row>18</xdr:row>
      <xdr:rowOff>76200</xdr:rowOff>
    </xdr:to>
    <xdr:graphicFrame macro="">
      <xdr:nvGraphicFramePr>
        <xdr:cNvPr id="3" name="Graphique 2">
          <a:extLst>
            <a:ext uri="{FF2B5EF4-FFF2-40B4-BE49-F238E27FC236}">
              <a16:creationId xmlns:a16="http://schemas.microsoft.com/office/drawing/2014/main" id="{29BF8AB9-302D-00B6-1E15-5B60383F4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480060</xdr:colOff>
      <xdr:row>18</xdr:row>
      <xdr:rowOff>144780</xdr:rowOff>
    </xdr:to>
    <xdr:graphicFrame macro="">
      <xdr:nvGraphicFramePr>
        <xdr:cNvPr id="2" name="Graphique 1">
          <a:extLst>
            <a:ext uri="{FF2B5EF4-FFF2-40B4-BE49-F238E27FC236}">
              <a16:creationId xmlns:a16="http://schemas.microsoft.com/office/drawing/2014/main" id="{D20D3294-53DA-5CFF-0681-5A8070A06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693420</xdr:colOff>
      <xdr:row>0</xdr:row>
      <xdr:rowOff>0</xdr:rowOff>
    </xdr:from>
    <xdr:to>
      <xdr:col>16</xdr:col>
      <xdr:colOff>693420</xdr:colOff>
      <xdr:row>18</xdr:row>
      <xdr:rowOff>152400</xdr:rowOff>
    </xdr:to>
    <xdr:graphicFrame macro="">
      <xdr:nvGraphicFramePr>
        <xdr:cNvPr id="3" name="Graphique 2">
          <a:extLst>
            <a:ext uri="{FF2B5EF4-FFF2-40B4-BE49-F238E27FC236}">
              <a16:creationId xmlns:a16="http://schemas.microsoft.com/office/drawing/2014/main" id="{0B6808AB-AEF6-2B72-EE26-BEE7BB40C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784860</xdr:colOff>
      <xdr:row>0</xdr:row>
      <xdr:rowOff>0</xdr:rowOff>
    </xdr:from>
    <xdr:to>
      <xdr:col>15</xdr:col>
      <xdr:colOff>297180</xdr:colOff>
      <xdr:row>18</xdr:row>
      <xdr:rowOff>22860</xdr:rowOff>
    </xdr:to>
    <xdr:graphicFrame macro="">
      <xdr:nvGraphicFramePr>
        <xdr:cNvPr id="3" name="Graphique 2">
          <a:extLst>
            <a:ext uri="{FF2B5EF4-FFF2-40B4-BE49-F238E27FC236}">
              <a16:creationId xmlns:a16="http://schemas.microsoft.com/office/drawing/2014/main" id="{418F71D3-5A98-C55E-0B69-20CE2B60F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7</xdr:col>
      <xdr:colOff>327660</xdr:colOff>
      <xdr:row>17</xdr:row>
      <xdr:rowOff>160020</xdr:rowOff>
    </xdr:to>
    <xdr:graphicFrame macro="">
      <xdr:nvGraphicFramePr>
        <xdr:cNvPr id="4" name="Graphique 3">
          <a:extLst>
            <a:ext uri="{FF2B5EF4-FFF2-40B4-BE49-F238E27FC236}">
              <a16:creationId xmlns:a16="http://schemas.microsoft.com/office/drawing/2014/main" id="{106B6A33-9273-A33D-9B21-0326DEBD3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16</xdr:row>
      <xdr:rowOff>152400</xdr:rowOff>
    </xdr:to>
    <xdr:graphicFrame macro="">
      <xdr:nvGraphicFramePr>
        <xdr:cNvPr id="2" name="Graphique 1">
          <a:extLst>
            <a:ext uri="{FF2B5EF4-FFF2-40B4-BE49-F238E27FC236}">
              <a16:creationId xmlns:a16="http://schemas.microsoft.com/office/drawing/2014/main" id="{D6A1DD3C-190F-9059-7D5F-56F3F9073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0</xdr:row>
      <xdr:rowOff>0</xdr:rowOff>
    </xdr:from>
    <xdr:to>
      <xdr:col>16</xdr:col>
      <xdr:colOff>22860</xdr:colOff>
      <xdr:row>16</xdr:row>
      <xdr:rowOff>160020</xdr:rowOff>
    </xdr:to>
    <xdr:graphicFrame macro="">
      <xdr:nvGraphicFramePr>
        <xdr:cNvPr id="3" name="Graphique 2">
          <a:extLst>
            <a:ext uri="{FF2B5EF4-FFF2-40B4-BE49-F238E27FC236}">
              <a16:creationId xmlns:a16="http://schemas.microsoft.com/office/drawing/2014/main" id="{81457E48-6C12-B49B-53D6-B7D20E0B5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15240</xdr:colOff>
      <xdr:row>0</xdr:row>
      <xdr:rowOff>0</xdr:rowOff>
    </xdr:from>
    <xdr:to>
      <xdr:col>8</xdr:col>
      <xdr:colOff>38100</xdr:colOff>
      <xdr:row>16</xdr:row>
      <xdr:rowOff>160020</xdr:rowOff>
    </xdr:to>
    <xdr:graphicFrame macro="">
      <xdr:nvGraphicFramePr>
        <xdr:cNvPr id="2" name="Graphique 1">
          <a:extLst>
            <a:ext uri="{FF2B5EF4-FFF2-40B4-BE49-F238E27FC236}">
              <a16:creationId xmlns:a16="http://schemas.microsoft.com/office/drawing/2014/main" id="{6D2F018B-AB4B-1AA6-FD0C-1CB2F7884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777240</xdr:colOff>
      <xdr:row>0</xdr:row>
      <xdr:rowOff>0</xdr:rowOff>
    </xdr:from>
    <xdr:to>
      <xdr:col>16</xdr:col>
      <xdr:colOff>68580</xdr:colOff>
      <xdr:row>17</xdr:row>
      <xdr:rowOff>15240</xdr:rowOff>
    </xdr:to>
    <xdr:graphicFrame macro="">
      <xdr:nvGraphicFramePr>
        <xdr:cNvPr id="3" name="Graphique 2">
          <a:extLst>
            <a:ext uri="{FF2B5EF4-FFF2-40B4-BE49-F238E27FC236}">
              <a16:creationId xmlns:a16="http://schemas.microsoft.com/office/drawing/2014/main" id="{79552523-3934-D389-A542-3E9D29952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297180</xdr:colOff>
      <xdr:row>18</xdr:row>
      <xdr:rowOff>76200</xdr:rowOff>
    </xdr:to>
    <xdr:graphicFrame macro="">
      <xdr:nvGraphicFramePr>
        <xdr:cNvPr id="2" name="Graphique 1">
          <a:extLst>
            <a:ext uri="{FF2B5EF4-FFF2-40B4-BE49-F238E27FC236}">
              <a16:creationId xmlns:a16="http://schemas.microsoft.com/office/drawing/2014/main" id="{F5A0FC30-C803-3C81-5A4A-468C0BADC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0</xdr:row>
      <xdr:rowOff>11430</xdr:rowOff>
    </xdr:from>
    <xdr:to>
      <xdr:col>16</xdr:col>
      <xdr:colOff>480060</xdr:colOff>
      <xdr:row>18</xdr:row>
      <xdr:rowOff>68580</xdr:rowOff>
    </xdr:to>
    <xdr:graphicFrame macro="">
      <xdr:nvGraphicFramePr>
        <xdr:cNvPr id="4" name="Graphique 3">
          <a:extLst>
            <a:ext uri="{FF2B5EF4-FFF2-40B4-BE49-F238E27FC236}">
              <a16:creationId xmlns:a16="http://schemas.microsoft.com/office/drawing/2014/main" id="{C7875E06-5DFB-C184-138C-CAFB56E04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15240</xdr:colOff>
      <xdr:row>0</xdr:row>
      <xdr:rowOff>0</xdr:rowOff>
    </xdr:from>
    <xdr:to>
      <xdr:col>4</xdr:col>
      <xdr:colOff>556260</xdr:colOff>
      <xdr:row>20</xdr:row>
      <xdr:rowOff>53340</xdr:rowOff>
    </xdr:to>
    <xdr:graphicFrame macro="">
      <xdr:nvGraphicFramePr>
        <xdr:cNvPr id="3" name="Graphique 2">
          <a:extLst>
            <a:ext uri="{FF2B5EF4-FFF2-40B4-BE49-F238E27FC236}">
              <a16:creationId xmlns:a16="http://schemas.microsoft.com/office/drawing/2014/main" id="{D75ABE22-9EF6-610D-98CE-1E965416E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327660</xdr:colOff>
      <xdr:row>0</xdr:row>
      <xdr:rowOff>11430</xdr:rowOff>
    </xdr:from>
    <xdr:to>
      <xdr:col>12</xdr:col>
      <xdr:colOff>495300</xdr:colOff>
      <xdr:row>20</xdr:row>
      <xdr:rowOff>53340</xdr:rowOff>
    </xdr:to>
    <xdr:graphicFrame macro="">
      <xdr:nvGraphicFramePr>
        <xdr:cNvPr id="4" name="Graphique 3">
          <a:extLst>
            <a:ext uri="{FF2B5EF4-FFF2-40B4-BE49-F238E27FC236}">
              <a16:creationId xmlns:a16="http://schemas.microsoft.com/office/drawing/2014/main" id="{8AB9278C-A24D-CD44-7D47-E1B2E71EE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484746412039" createdVersion="8" refreshedVersion="8" minRefreshableVersion="3" recordCount="9" xr:uid="{70A335A1-6C24-4B2A-A980-A69E760525D2}">
  <cacheSource type="worksheet">
    <worksheetSource ref="A1:D10" sheet="Gouvernance"/>
  </cacheSource>
  <cacheFields count="4">
    <cacheField name="ID" numFmtId="0">
      <sharedItems count="9">
        <s v="GOV-02.1"/>
        <s v="GOV-03.1"/>
        <s v="GOV-03.2"/>
        <s v="GOV-03.3"/>
        <s v="GOV-04.1"/>
        <s v="GOV-04.2"/>
        <s v="GOV-04.3"/>
        <s v="GOV-04.4"/>
        <s v="GOV-05.1"/>
      </sharedItems>
    </cacheField>
    <cacheField name="Control Objective Name" numFmtId="0">
      <sharedItems/>
    </cacheField>
    <cacheField name="Control Objective Description" numFmtId="0">
      <sharedItems longText="1"/>
    </cacheField>
    <cacheField name="Niveau de maturité" numFmtId="0">
      <sharedItems containsSemiMixedTypes="0" containsString="0" containsNumber="1" containsInteger="1" minValue="1" maxValue="5" count="5">
        <n v="2"/>
        <n v="1"/>
        <n v="5"/>
        <n v="3"/>
        <n v="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490433217594" createdVersion="8" refreshedVersion="8" minRefreshableVersion="3" recordCount="9" xr:uid="{BE0CC7DF-14F0-4127-B9CE-5D43C288F7A1}">
  <cacheSource type="worksheet">
    <worksheetSource ref="A1:D10" sheet="Gestion organisationnelle"/>
  </cacheSource>
  <cacheFields count="4">
    <cacheField name="ID" numFmtId="0">
      <sharedItems containsBlank="1"/>
    </cacheField>
    <cacheField name="Control Objective Name" numFmtId="0">
      <sharedItems containsBlank="1"/>
    </cacheField>
    <cacheField name="Control Objective Description" numFmtId="0">
      <sharedItems containsBlank="1"/>
    </cacheField>
    <cacheField name="Niveau de maturité" numFmtId="0">
      <sharedItems containsBlank="1" containsMixedTypes="1" containsNumber="1" containsInteger="1" minValue="1" maxValue="5" count="7">
        <s v="NA"/>
        <n v="4"/>
        <n v="3"/>
        <n v="5"/>
        <n v="2"/>
        <n v="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493281712967" createdVersion="8" refreshedVersion="8" minRefreshableVersion="3" recordCount="7" xr:uid="{E1D052C3-7601-4557-909E-A6B0AA9EF39D}">
  <cacheSource type="worksheet">
    <worksheetSource ref="A1:D8" sheet="Gestion organisationnelle"/>
  </cacheSource>
  <cacheFields count="4">
    <cacheField name="ID" numFmtId="0">
      <sharedItems count="7">
        <s v="ORM-02.1"/>
        <s v="ORM-02.2"/>
        <s v="ORM-03.1"/>
        <s v="ORM-03.2"/>
        <s v="ORM-04.1"/>
        <s v="ORM-04.2"/>
        <s v="ORM-05.1"/>
      </sharedItems>
    </cacheField>
    <cacheField name="Control Objective Name" numFmtId="0">
      <sharedItems/>
    </cacheField>
    <cacheField name="Control Objective Description" numFmtId="0">
      <sharedItems/>
    </cacheField>
    <cacheField name="Niveau de maturité"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01669560188" createdVersion="8" refreshedVersion="8" minRefreshableVersion="3" recordCount="6" xr:uid="{65EEF6C7-EECD-46E8-89A1-09D6FB97FC6F}">
  <cacheSource type="worksheet">
    <worksheetSource ref="A1:D7" sheet="IAM"/>
  </cacheSource>
  <cacheFields count="4">
    <cacheField name="ID" numFmtId="0">
      <sharedItems/>
    </cacheField>
    <cacheField name="Control Objective Name" numFmtId="0">
      <sharedItems/>
    </cacheField>
    <cacheField name="Control Objective Description" numFmtId="0">
      <sharedItems longText="1"/>
    </cacheField>
    <cacheField name="Niveau de maturité " numFmtId="0">
      <sharedItems containsSemiMixedTypes="0" containsString="0" containsNumber="1" containsInteger="1" minValue="1" maxValue="5" count="5">
        <n v="2"/>
        <n v="4"/>
        <n v="1"/>
        <n v="3"/>
        <n v="5"/>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02352546297" createdVersion="8" refreshedVersion="8" minRefreshableVersion="3" recordCount="7" xr:uid="{640C815C-44DA-401C-A00B-36761F6A9271}">
  <cacheSource type="worksheet">
    <worksheetSource ref="A1:D8" sheet="IAM"/>
  </cacheSource>
  <cacheFields count="4">
    <cacheField name="ID" numFmtId="0">
      <sharedItems count="7">
        <s v="IAM-02.1"/>
        <s v="IAM-02.2"/>
        <s v="IAM-03.1"/>
        <s v="IAM-03.2"/>
        <s v="IAM-04.1"/>
        <s v="IAM-05.1"/>
        <s v="IAM-05.2"/>
      </sharedItems>
    </cacheField>
    <cacheField name="Control Objective Name" numFmtId="0">
      <sharedItems/>
    </cacheField>
    <cacheField name="Control Objective Description" numFmtId="0">
      <sharedItems longText="1"/>
    </cacheField>
    <cacheField name="Niveau de maturité "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19194097222" createdVersion="8" refreshedVersion="8" minRefreshableVersion="3" recordCount="11" xr:uid="{88033EFF-BA93-4DA5-AF8E-1CDF5704E92C}">
  <cacheSource type="worksheet">
    <worksheetSource ref="A1:D12" sheet="Sécurité des charges de travail"/>
  </cacheSource>
  <cacheFields count="4">
    <cacheField name="ID" numFmtId="0">
      <sharedItems count="11">
        <s v="WKL-02.1"/>
        <s v="WKL-02.2"/>
        <s v="WKL-03.1"/>
        <s v="WKL-03.2"/>
        <s v="WKL-03.3"/>
        <s v="WKL-04.1"/>
        <s v="WKL-04.2"/>
        <s v="WKL-04.3"/>
        <s v="WKL-04.4"/>
        <s v="WKL-05.1"/>
        <s v="WKL-05.2"/>
      </sharedItems>
    </cacheField>
    <cacheField name="Control Objective Name" numFmtId="0">
      <sharedItems/>
    </cacheField>
    <cacheField name="Control Objective Description" numFmtId="0">
      <sharedItems/>
    </cacheField>
    <cacheField name="Niveau de maturité" numFmtId="0">
      <sharedItems containsSemiMixedTypes="0" containsString="0" containsNumber="1" containsInteger="1" minValue="1" maxValue="5" count="5">
        <n v="1"/>
        <n v="4"/>
        <n v="5"/>
        <n v="3"/>
        <n v="2"/>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23000462963" createdVersion="8" refreshedVersion="8" minRefreshableVersion="3" recordCount="8" xr:uid="{FF2AE444-7826-4879-89C2-B744C120D2E8}">
  <cacheSource type="worksheet">
    <worksheetSource ref="A1:D9" sheet="Sécurité des Données"/>
  </cacheSource>
  <cacheFields count="4">
    <cacheField name="ID" numFmtId="0">
      <sharedItems count="8">
        <s v="DAT-02.1"/>
        <s v="DAT-02.2"/>
        <s v="DAT-03.1"/>
        <s v="DAT-03.2"/>
        <s v="DAT-04.1"/>
        <s v="DAT-04.2"/>
        <s v="DAT-05.1"/>
        <s v="DAT-05.2"/>
      </sharedItems>
    </cacheField>
    <cacheField name="Control Objective Name" numFmtId="0">
      <sharedItems/>
    </cacheField>
    <cacheField name="Control Objective Description" numFmtId="0">
      <sharedItems/>
    </cacheField>
    <cacheField name="Niveau de maturité" numFmtId="0">
      <sharedItems containsSemiMixedTypes="0" containsString="0" containsNumber="1" containsInteger="1" minValue="1" maxValue="5" count="5">
        <n v="1"/>
        <n v="3"/>
        <n v="4"/>
        <n v="5"/>
        <n v="2"/>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28422569441" createdVersion="8" refreshedVersion="8" minRefreshableVersion="3" recordCount="8" xr:uid="{1BB71AD5-B52E-4589-BB5D-DD8CEB4A2D04}">
  <cacheSource type="worksheet">
    <worksheetSource ref="A1:D9" sheet="Résilience"/>
  </cacheSource>
  <cacheFields count="4">
    <cacheField name="ID" numFmtId="0">
      <sharedItems count="8">
        <s v="BCR-02.1"/>
        <s v="BCR-03.1"/>
        <s v="BCR-03.2"/>
        <s v="BCR-04.1"/>
        <s v="BCR-04.2"/>
        <s v="BCR-04.3"/>
        <s v="BCR-05.1"/>
        <s v="BCR-05.2"/>
      </sharedItems>
    </cacheField>
    <cacheField name="Control Objective Name" numFmtId="0">
      <sharedItems/>
    </cacheField>
    <cacheField name="Control Objective Description" numFmtId="0">
      <sharedItems longText="1"/>
    </cacheField>
    <cacheField name="Niveau de maturité" numFmtId="0">
      <sharedItems containsSemiMixedTypes="0" containsString="0" containsNumber="1" containsInteger="1" minValue="1" maxValue="5" count="5">
        <n v="3"/>
        <n v="1"/>
        <n v="5"/>
        <n v="4"/>
        <n v="2"/>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29564699071" createdVersion="8" refreshedVersion="8" minRefreshableVersion="3" recordCount="6" xr:uid="{A2ACB657-BBE6-4AAB-B576-C319EA27073C}">
  <cacheSource type="worksheet">
    <worksheetSource ref="A1:D7" sheet="Conformité"/>
  </cacheSource>
  <cacheFields count="4">
    <cacheField name="ID" numFmtId="0">
      <sharedItems count="6">
        <s v="CA-02.1"/>
        <s v="CA-03.1"/>
        <s v="CA-03.2"/>
        <s v="CA-04.1"/>
        <s v="CA-04.2"/>
        <s v="CA-05.1"/>
      </sharedItems>
    </cacheField>
    <cacheField name="Control Objective Name" numFmtId="0">
      <sharedItems/>
    </cacheField>
    <cacheField name="Control Objective Description" numFmtId="0">
      <sharedItems longText="1"/>
    </cacheField>
    <cacheField name="Niveau de maturité" numFmtId="0">
      <sharedItems containsSemiMixedTypes="0" containsString="0" containsNumber="1" containsInteger="1" minValue="1" maxValue="5" count="5">
        <n v="5"/>
        <n v="2"/>
        <n v="3"/>
        <n v="1"/>
        <n v="4"/>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35353587962" createdVersion="8" refreshedVersion="8" minRefreshableVersion="3" recordCount="7" xr:uid="{59C25B3D-64CB-400D-A770-8DAB1D10195C}">
  <cacheSource type="worksheet">
    <worksheetSource ref="A1:D8" sheet="Supervision de la sécurité"/>
  </cacheSource>
  <cacheFields count="4">
    <cacheField name="ID" numFmtId="0">
      <sharedItems count="7">
        <s v="LOG-02.1"/>
        <s v="LOG-03.1"/>
        <s v="LOG-03.2"/>
        <s v="LOG-04.1"/>
        <s v="LOG-04.2"/>
        <s v="LOG-05.1"/>
        <s v="LOG-05.2"/>
      </sharedItems>
    </cacheField>
    <cacheField name="Control Objective Name" numFmtId="0">
      <sharedItems/>
    </cacheField>
    <cacheField name="Control Objective Description" numFmtId="0">
      <sharedItems/>
    </cacheField>
    <cacheField name="Niveau de maturité" numFmtId="0">
      <sharedItems containsSemiMixedTypes="0" containsString="0" containsNumber="1" containsInteger="1" minValue="1" maxValue="5" count="5">
        <n v="5"/>
        <n v="1"/>
        <n v="2"/>
        <n v="4"/>
        <n v="3"/>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39880671298" createdVersion="8" refreshedVersion="8" minRefreshableVersion="3" recordCount="6" xr:uid="{4507C577-144A-432B-A2EB-B981AC7C5785}">
  <cacheSource type="worksheet">
    <worksheetSource ref="A1:D7" sheet="Sécurité réseau"/>
  </cacheSource>
  <cacheFields count="4">
    <cacheField name="ID" numFmtId="0">
      <sharedItems count="6">
        <s v="NET-02.1"/>
        <s v="NET-03.1"/>
        <s v="NET-03.2"/>
        <s v="NET-04.1"/>
        <s v="NET-04.2"/>
        <s v="NET-05.1"/>
      </sharedItems>
    </cacheField>
    <cacheField name="Control Objective Name" numFmtId="0">
      <sharedItems/>
    </cacheField>
    <cacheField name="Control Objective Description" numFmtId="0">
      <sharedItems longText="1"/>
    </cacheField>
    <cacheField name="Niveau de maturité" numFmtId="0">
      <sharedItems containsSemiMixedTypes="0" containsString="0" containsNumber="1" containsInteger="1" minValue="1" maxValue="5" count="5">
        <n v="1"/>
        <n v="4"/>
        <n v="5"/>
        <n v="2"/>
        <n v="3"/>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62657523151" createdVersion="8" refreshedVersion="8" minRefreshableVersion="3" recordCount="10" xr:uid="{71AFA07C-032D-421E-9FC5-29E809C2A222}">
  <cacheSource type="worksheet">
    <worksheetSource ref="A1:D11" sheet="Sécurité Applicative"/>
  </cacheSource>
  <cacheFields count="4">
    <cacheField name="ID" numFmtId="0">
      <sharedItems count="10">
        <s v="APP-02.1"/>
        <s v="APP-03.1"/>
        <s v="APP-03.2"/>
        <s v="APP-03.3"/>
        <s v="APP-03.4"/>
        <s v="APP-04.1"/>
        <s v="APP-04.2"/>
        <s v="APP-04.3"/>
        <s v="APP-05.1"/>
        <s v="APP-05.2"/>
      </sharedItems>
    </cacheField>
    <cacheField name="Control Objective Name" numFmtId="0">
      <sharedItems/>
    </cacheField>
    <cacheField name="Control Objective Description" numFmtId="0">
      <sharedItems longText="1"/>
    </cacheField>
    <cacheField name="Niveau de maturité" numFmtId="0">
      <sharedItems containsSemiMixedTypes="0" containsString="0" containsNumber="1" containsInteger="1" minValue="1" maxValue="5" count="5">
        <n v="2"/>
        <n v="1"/>
        <n v="4"/>
        <n v="5"/>
        <n v="3"/>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68378935182" createdVersion="8" refreshedVersion="8" minRefreshableVersion="3" recordCount="6" xr:uid="{FD9FF416-7279-4FB9-9326-8C9F8D8F4B7F}">
  <cacheSource type="worksheet">
    <worksheetSource ref="A1:D7" sheet="Analyse des risques"/>
  </cacheSource>
  <cacheFields count="4">
    <cacheField name="ID" numFmtId="0">
      <sharedItems count="6">
        <s v="RSK-02.1"/>
        <s v="RSK-03.1"/>
        <s v="RSK-04.1"/>
        <s v="RSK-04.2"/>
        <s v="RSK-05.1"/>
        <s v="RSK-05.2"/>
      </sharedItems>
    </cacheField>
    <cacheField name="Control Objective Name" numFmtId="0">
      <sharedItems/>
    </cacheField>
    <cacheField name="Control Objective Description" numFmtId="0">
      <sharedItems longText="1"/>
    </cacheField>
    <cacheField name="Niveau de maturité" numFmtId="0">
      <sharedItems containsSemiMixedTypes="0" containsString="0" containsNumber="1" containsInteger="1" minValue="1" maxValue="5" count="5">
        <n v="1"/>
        <n v="5"/>
        <n v="4"/>
        <n v="3"/>
        <n v="2"/>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refreshedDate="44632.587935995369" createdVersion="8" refreshedVersion="8" minRefreshableVersion="3" recordCount="8" xr:uid="{384E6BE6-7E76-471F-BF37-A2E489DFC43C}">
  <cacheSource type="worksheet">
    <worksheetSource ref="A1:D9" sheet="Gestion des incidents "/>
  </cacheSource>
  <cacheFields count="4">
    <cacheField name="ID" numFmtId="0">
      <sharedItems count="8">
        <s v="IR-02.1"/>
        <s v="IR-03.1"/>
        <s v="IR-03.2"/>
        <s v="IR-04.1"/>
        <s v="IR-04.2"/>
        <s v="IR-04.3"/>
        <s v="IR-05.1"/>
        <s v="IR-05.2"/>
      </sharedItems>
    </cacheField>
    <cacheField name="Control Objective Name" numFmtId="0">
      <sharedItems/>
    </cacheField>
    <cacheField name="Control Objective Description" numFmtId="0">
      <sharedItems longText="1"/>
    </cacheField>
    <cacheField name="Niveau de maturité" numFmtId="0">
      <sharedItems containsSemiMixedTypes="0" containsString="0" containsNumber="1" containsInteger="1" minValue="1" maxValue="5" count="5">
        <n v="1"/>
        <n v="4"/>
        <n v="3"/>
        <n v="5"/>
        <n v="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s v="Fournisseurs cloud approuvés"/>
    <s v="L’organisation a identifié et validé les fournisseurs cloud autorisés à être utilisés."/>
    <x v="0"/>
  </r>
  <r>
    <x v="1"/>
    <s v="Existence d’un Cloud Center of Excellence (CCoE)"/>
    <s v="Un Cloud Center of Excellence (CCoE), un Cloud Council ou une équipe centrale de gouvernance cloud est en place pour guider l’adoption et l’utilisation du cloud._x000a_Pour un niveau de maturité 3, cette équipe peut encore être en phase de structuration._x000a_Dans les organisations plus petites, ce rôle peut être assuré par l’équipe IT ou sécurité existante, sans qu’un CCoE formel soit nécessaire."/>
    <x v="1"/>
  </r>
  <r>
    <x v="2"/>
    <s v="Premiers référentiels de sécurité définis"/>
    <s v="L’organisation a défini des standards de sécurité pour encadrer l’utilisation future du cloud (ex : CIS Benchmarks ou bonnes pratiques des fournisseurs cloud)."/>
    <x v="2"/>
  </r>
  <r>
    <x v="3"/>
    <s v="Existence d’un registre des ressources cloud"/>
    <s v="Un registre centralisé des fournisseurs cloud et des déploiements est maintenu (responsable, type d’environnement, niveau de risque, etc.)."/>
    <x v="2"/>
  </r>
  <r>
    <x v="4"/>
    <s v="CCoE dispose d’une autorité"/>
    <s v="Une équipe ou autorité centrale définit et applique les règles de sécurité cloud."/>
    <x v="3"/>
  </r>
  <r>
    <x v="5"/>
    <s v="Objectifs de sécurité cloud définis"/>
    <s v="L’organisation définit des objectifs de sécurité pour l’utilisation du cloud, basés sur des référentiels reconnus (ex. CSA CCM)."/>
    <x v="0"/>
  </r>
  <r>
    <x v="6"/>
    <s v="Spécifications de contrôle appliquées"/>
    <s v="Des contrôles de sécurité techniques sont définis et appliqués pour les fournisseurs cloud utilisés."/>
    <x v="4"/>
  </r>
  <r>
    <x v="7"/>
    <s v="Gouvernance cloud automatisée"/>
    <s v="La gouvernance et les contrôles de sécurité cloud sont gérés à l’aide d’outils d’automatisation (ex. IaC, CI/CD)."/>
    <x v="4"/>
  </r>
  <r>
    <x v="8"/>
    <s v="Mise à jour continue des objectifs et contrôles de sécurité cloud"/>
    <s v="Les objectifs et contrôles de sécurité cloud sont mis à jour régulièrement en fonction de l’évolution des services des fournisseurs cloud."/>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ORM-02.1"/>
    <s v="Déploiements organisés dans une hiérarchie"/>
    <s v="Les déploiements cloud sont structurés dans une hiérarchie."/>
    <x v="0"/>
  </r>
  <r>
    <s v="ORM-02.2"/>
    <s v="Checklist de sécurité"/>
    <s v="Une checklist de contrôles de sécurité est utilisée pour vérifier les nouveaux déploiements et peut être documentée ou automatisée via des outils de sécurité."/>
    <x v="1"/>
  </r>
  <r>
    <s v="ORM-03.1"/>
    <s v="CSPM implémenté et utilisé"/>
    <s v="Un outil de gestion de la posture de sécurité cloud (CSPM) est utilisé pour détecter les mauvaises configurations dans les déploiements cloud."/>
    <x v="2"/>
  </r>
  <r>
    <s v="ORM-03.2"/>
    <s v="Politiques préventives du fournisseur cloud utilisées"/>
    <s v="Des politiques de sécurité préventives du fournisseur cloud sont appliquées dans l’organisation."/>
    <x v="3"/>
  </r>
  <r>
    <s v="ORM-04.1"/>
    <s v="Déploiements utilisés pour limiter l’impact des incidents"/>
    <s v="Les déploiements sont organisés dans une structure hiérarchique (comptes, abonnements, projets, etc.) afin de limiter l’impact d’un incident de sécurité sur l’ensemble de l’environnement."/>
    <x v="4"/>
  </r>
  <r>
    <s v="ORM-04.2"/>
    <s v="Les politiques préventives du fournisseur cloud sont utilisées de manière cohérente"/>
    <s v="Les politiques de sécurité préventives du fournisseur cloud (par exemple AWS Service Control Policies, Azure Policies ou GCP Policies) sont utilisées et appliquées dans l’ensemble de l’organisation afin de contrôler les déploiements."/>
    <x v="5"/>
  </r>
  <r>
    <s v="ORM-05.1"/>
    <s v="Les contrôles de sécurité sont automatiquement déployés et gérés par automatisation"/>
    <s v="Les déploiements cloud sont automatisés et incluent automatiquement les principaux contrôles de sécurité."/>
    <x v="0"/>
  </r>
  <r>
    <m/>
    <m/>
    <m/>
    <x v="6"/>
  </r>
  <r>
    <m/>
    <m/>
    <m/>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Déploiements organisés dans une hiérarchie"/>
    <s v="Les déploiements cloud sont structurés dans une hiérarchie."/>
    <n v="4"/>
  </r>
  <r>
    <x v="1"/>
    <s v="Checklist de sécurité"/>
    <s v="Une checklist de contrôles de sécurité est utilisée pour vérifier les nouveaux déploiements et peut être documentée ou automatisée via des outils de sécurité."/>
    <n v="4"/>
  </r>
  <r>
    <x v="2"/>
    <s v="CSPM implémenté et utilisé"/>
    <s v="Un outil de gestion de la posture de sécurité cloud (CSPM) est utilisé pour détecter les mauvaises configurations dans les déploiements cloud."/>
    <n v="3"/>
  </r>
  <r>
    <x v="3"/>
    <s v="Politiques préventives du fournisseur cloud utilisées"/>
    <s v="Des politiques de sécurité préventives du fournisseur cloud sont appliquées dans l’organisation."/>
    <n v="5"/>
  </r>
  <r>
    <x v="4"/>
    <s v="Déploiements utilisés pour limiter l’impact des incidents"/>
    <s v="Les déploiements sont organisés dans une structure hiérarchique (comptes, abonnements, projets, etc.) afin de limiter l’impact d’un incident de sécurité sur l’ensemble de l’environnement."/>
    <n v="2"/>
  </r>
  <r>
    <x v="5"/>
    <s v="Les politiques préventives du fournisseur cloud sont utilisées de manière cohérente"/>
    <s v="Les politiques de sécurité préventives du fournisseur cloud (par exemple AWS Service Control Policies, Azure Policies ou GCP Policies) sont utilisées et appliquées dans l’ensemble de l’organisation afin de contrôler les déploiements."/>
    <n v="1"/>
  </r>
  <r>
    <x v="6"/>
    <s v="Les contrôles de sécurité sont automatiquement déployés et gérés par automatisation"/>
    <s v="Les déploiements cloud sont automatisés et incluent automatiquement les principaux contrôles de sécurité."/>
    <n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IAM-02.1"/>
    <s v="SSO utilisé pour la majorité des accès à la console cloud"/>
    <s v="L’accès à la console ou au portail du fournisseur cloud se fait via un système d’authentification unique (SSO), fourni par un service externe ou intégré à la plateforme cloud."/>
    <x v="0"/>
  </r>
  <r>
    <s v="IAM-02.2"/>
    <s v="MFA requis pour l’accès à la console cloud"/>
    <s v="L’accès à la console cloud nécessite une authentification multifacteur (MFA)."/>
    <x v="1"/>
  </r>
  <r>
    <s v="IAM-03.1"/>
    <s v="Les utilisateurs accèdent à la console cloud uniquement via le SSO"/>
    <s v="L’accès à la console cloud est uniquement possible via le portail SSO._x000a_Un compte d’urgence peut exister pour les situations exceptionnelles."/>
    <x v="0"/>
  </r>
  <r>
    <s v="IAM-03.2"/>
    <s v="MFA appliqué pour les accès API et CLI"/>
    <s v="L’authentification multifacteur est également appliquée aux accès via API ou ligne de commande (CLI) afin de sécuriser les accès programmatiques au cloud."/>
    <x v="2"/>
  </r>
  <r>
    <s v="IAM-04.1"/>
    <s v="Les politiques IAM sont automatiquement analysées pour détecter les accès trop larges ou les risques d’escalade de privilèges"/>
    <s v="Les politiques IAM sont analysées pour détecter les privilèges excessifs et les risques d’escalade."/>
    <x v="3"/>
  </r>
  <r>
    <s v="IAM-05.1"/>
    <s v="Un périmètre de sécurité IAM est appliqué"/>
    <s v="Un périmètre de sécurité IAM limite l’origine des appels API et l’accès aux ressources cloud, par exemple en utilisant :_x000a_- des restrictions d’adresses IP_x000a_- des contraintes sur les appareils ou les environnements autorisés._x000a_L’objectif est d’empêcher l’utilisation abusive de credentials ou de sessions volées."/>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SSO utilisé pour la majorité des accès à la console cloud"/>
    <s v="L’accès à la console ou au portail du fournisseur cloud se fait via un système d’authentification unique (SSO), fourni par un service externe ou intégré à la plateforme cloud."/>
    <n v="2"/>
  </r>
  <r>
    <x v="1"/>
    <s v="MFA requis pour l’accès à la console cloud"/>
    <s v="L’accès à la console cloud nécessite une authentification multifacteur (MFA)."/>
    <n v="4"/>
  </r>
  <r>
    <x v="2"/>
    <s v="Les utilisateurs accèdent à la console cloud uniquement via le SSO"/>
    <s v="L’accès à la console cloud est uniquement possible via le portail SSO._x000a_Un compte d’urgence peut exister pour les situations exceptionnelles."/>
    <n v="3"/>
  </r>
  <r>
    <x v="3"/>
    <s v="MFA appliqué pour les accès API et CLI"/>
    <s v="L’authentification multifacteur est également appliquée aux accès via API ou ligne de commande (CLI) afin de sécuriser les accès programmatiques au cloud."/>
    <n v="1"/>
  </r>
  <r>
    <x v="4"/>
    <s v="Les politiques IAM sont automatiquement analysées pour détecter les accès trop larges ou les risques d’escalade de privilèges"/>
    <s v="Les politiques IAM sont analysées pour détecter les privilèges excessifs et les risques d’escalade."/>
    <n v="3"/>
  </r>
  <r>
    <x v="5"/>
    <s v="Un périmètre de sécurité IAM est appliqué"/>
    <s v="Un périmètre de sécurité IAM limite l’origine des appels API et l’accès aux ressources cloud, par exemple en utilisant :_x000a_- des restrictions d’adresses IP_x000a_- des contraintes sur les appareils ou les environnements autorisés._x000a_L’objectif est d’empêcher l’utilisation abusive de credentials ou de sessions volées."/>
    <n v="5"/>
  </r>
  <r>
    <x v="6"/>
    <s v="Accès Just-In-Time (JIT) utilisé pour les environnements de production"/>
    <s v="L’accès aux environnements de production est accordé temporairement à la demande, plutôt que de permettre des accès permanents aux utilisateurs."/>
    <n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s v="Certaines instances/VM sont gérées avec des outils de gestion de configuration"/>
    <s v="Certaines machines virtuelles ou instances cloud utilisent des outils de gestion de configuration pour automatiser leur configuration, plutôt que d’être gérées entièrement manuellement."/>
    <x v="0"/>
  </r>
  <r>
    <x v="1"/>
    <s v="Les instances/VM sont analysées pour détecter les vulnérabilités"/>
    <s v="Les machines virtuelles et instances cloud sont régulièrement analysées afin d’identifier les vulnérabilités de sécurité."/>
    <x v="1"/>
  </r>
  <r>
    <x v="2"/>
    <s v="Les conteneurs utilisent la plateforme d’orchestration du fournisseur cloud"/>
    <s v="Les conteneurs sont gérés via une plateforme d’orchestration fournie par le fournisseur cloud (par exemple Kubernetes managé), ce qui réduit la complexité et les risques de sécurité."/>
    <x v="2"/>
  </r>
  <r>
    <x v="3"/>
    <s v="Utilisation modérée d’instances/VM immuables"/>
    <s v="Certaines charges de travail utilisent des instances immuables avec autoscaling."/>
    <x v="3"/>
  </r>
  <r>
    <x v="4"/>
    <s v="L’utilisation d’instances/VM de longue durée est limitée"/>
    <s v="Les instances cloud ne restent pas actives pendant de longues périodes afin de réduire les risques liés aux systèmes non mis à jour ou abandonnés."/>
    <x v="0"/>
  </r>
  <r>
    <x v="5"/>
    <s v="Les images sont créées via des pipelines CI/CD avec des tests de sécurité intégrés"/>
    <s v="Les images utilisées pour les workloads sont créées via des pipelines CI/CD intégrant des analyses de sécurité (par exemple analyse de dépendances et analyse de vulnérabilités) afin de garantir une base sécurisée."/>
    <x v="3"/>
  </r>
  <r>
    <x v="6"/>
    <s v="Une plateforme de sécurité des conteneurs est en place"/>
    <s v="Une plateforme de sécurité permet de protéger les environnements de conteneurs, notamment en analysant :_x000a_- les images de conteneurs_x000a_- la configuration de l’orchestrateur_x000a_- la sécurité au runtime."/>
    <x v="1"/>
  </r>
  <r>
    <x v="7"/>
    <s v="Les fonctions serverless (FaaS) n’ont pas de privilèges excessifs"/>
    <s v="Les fonctions serverless utilisent des permissions minimales et évitent les privilèges administratifs afin de limiter les risques de sécurité."/>
    <x v="4"/>
  </r>
  <r>
    <x v="8"/>
    <s v="L’analyse de vulnérabilités cloud-native est utilisée de manière cohérente"/>
    <s v="Les workloads cloud sont régulièrement analysés pour détecter les vulnérabilités à l’aide d’outils d’analyse adaptés au cloud."/>
    <x v="4"/>
  </r>
  <r>
    <x v="9"/>
    <s v="Les workloads immuables sont la norme et n’exposent pas de ports d’administration"/>
    <s v="Les workloads sont majoritairement immuables et utilisent l’autoscaling._x000a_Les ports d’administration à distance (ex. SSH ou RDP) sont désactivés afin de réduire la surface d’attaque."/>
    <x v="4"/>
  </r>
  <r>
    <x v="10"/>
    <s v="Les workloads immuables sont la norme et n’exposent pas de ports d’administration"/>
    <s v="Les workloads sont majoritairement immuables et utilisent l’autoscaling._x000a_Les ports d’administration à distance (ex. SSH ou RDP) sont désactivés afin de réduire la surface d’attaque."/>
    <x v="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Stockage non public"/>
    <s v="Le stockage d’objets n’est pas public sans autorisation."/>
    <x v="0"/>
  </r>
  <r>
    <x v="1"/>
    <s v="Chiffrement par défaut"/>
    <s v="Les volumes de stockage utilisent le chiffrement par défaut."/>
    <x v="1"/>
  </r>
  <r>
    <x v="2"/>
    <s v="Protection contre stockage public"/>
    <s v="Les contrôles cloud empêchent l’exposition publique du stockage."/>
    <x v="1"/>
  </r>
  <r>
    <x v="3"/>
    <s v="Clés de chiffrement gérées"/>
    <s v="Certaines ressources utilisent des clés gérées par le client."/>
    <x v="2"/>
  </r>
  <r>
    <x v="4"/>
    <s v="Détection des expositions publiques"/>
    <s v="Les déploiements sont analysés pour détecter les expositions publiques."/>
    <x v="3"/>
  </r>
  <r>
    <x v="5"/>
    <s v="Clés avec moindre privilège"/>
    <s v="Les clés de chiffrement respectent le principe du moindre privilège."/>
    <x v="4"/>
  </r>
  <r>
    <x v="6"/>
    <s v="Détection de données sensibles"/>
    <s v="Les déploiements sont analysés pour détecter des données sensibles non autorisées."/>
    <x v="4"/>
  </r>
  <r>
    <x v="7"/>
    <s v="Correction automatique des expositions"/>
    <s v="Les expositions publiques de données sont corrigées automatiquement."/>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Autoscaling multi-zones de disponibilité utilisé"/>
    <s v="Les ressources de calcul sont déployées dans plusieurs zones de disponibilité grâce à l’autoscaling._x000a_Cela permet d’améliorer la résilience du système en cas de panne d’une zone ou d’une ressource."/>
    <x v="0"/>
  </r>
  <r>
    <x v="1"/>
    <s v="Les machines virtuelles et bases de données disposent de snapshots récents"/>
    <s v="Des snapshots ou sauvegardes réguliers sont réalisés pour les machines virtuelles et les bases de données._x000a_Cela permet de restaurer rapidement les systèmes et de limiter les pertes de données en cas d’incident."/>
    <x v="1"/>
  </r>
  <r>
    <x v="2"/>
    <s v="Cycle de vie ou sauvegardes du stockage d’objets configurés"/>
    <s v="Les données stockées dans les services de stockage d’objets utilisent des politiques de cycle de vie ou des sauvegardes automatiques._x000a_Cela permet d’assurer la conservation et la récupération des données importantes en cas d’incident."/>
    <x v="2"/>
  </r>
  <r>
    <x v="3"/>
    <s v="Most compute workloads are autoscaled or serverless"/>
    <s v="Most compute workloads, including instances/VMs/containers, are autoscaled. Autoscaling is a cloud-native architectural pattern that increases resiliency of running workloads. _x000a__x000a_Autoscaling can be implemented in VMs/instances or containers. Serverless functions, by their nature, are ephemeral and autoscaled. To reach maturity Level 4, most workloads (&gt;60%) in production environments are autoscaled."/>
    <x v="3"/>
  </r>
  <r>
    <x v="4"/>
    <s v="La majorité des charges de calcul utilisent l’autoscaling ou le serverless"/>
    <s v="La plupart des charges de travail utilisent des mécanismes d’autoscaling ou des architectures serverless._x000a_Ces approches cloud-native améliorent la résilience et l’adaptation automatique aux variations de charge."/>
    <x v="4"/>
  </r>
  <r>
    <x v="5"/>
    <s v="Les données critiques sont accessibles dans au moins deux régions"/>
    <s v="Les données critiques, notamment dans les bases de données ou le stockage d’objets, sont répliquées dans plusieurs régions cloud._x000a_Cela permet d’assurer la continuité d’activité en cas d’indisponibilité d’une région."/>
    <x v="4"/>
  </r>
  <r>
    <x v="6"/>
    <s v="Tous les déploiements en production utilisent l’infrastructure as code"/>
    <s v="Les infrastructures de production sont entièrement déployées et gérées à l’aide d’outils d’infrastructure as code._x000a_Cela garantit des déploiements cohérents, reproductibles et facilite la reconstruction rapide des environnements."/>
    <x v="0"/>
  </r>
  <r>
    <x v="7"/>
    <s v="Le chaos engineering est mis en œuvre"/>
    <s v="Des tests de résilience sont réalisés en introduisant volontairement des pannes contrôlées dans le système._x000a_Cette approche permet de vérifier la capacité des systèmes à se rétablir automatiquement et à maintenir la continuité des services."/>
    <x v="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La conformité de base est évaluée manuellement"/>
    <s v="Les déploiements cloud sont évalués pour vérifier leur conformité aux exigences réglementaires ou internes._x000a_L’évaluation repose principalement sur des vérifications manuelles, par exemple à l’aide de checklists, éventuellement complétées par certains outils de sécurité."/>
    <x v="0"/>
  </r>
  <r>
    <x v="1"/>
    <s v="Les fournisseurs et services cloud autorisés pour les données réglementées sont définis"/>
    <s v="L’organisation maintient une liste des fournisseurs et services cloud autorisés pour traiter certains types de données réglementées._x000a_Cette liste précise les exigences de conformité applicables et les conditions d’utilisation associées."/>
    <x v="1"/>
  </r>
  <r>
    <x v="2"/>
    <s v="Les déploiements sont évalués pour la conformité avant mise en production"/>
    <s v="Les déploiements concernés par des exigences de conformité sont évalués avant leur mise en production et de manière périodique par la suite._x000a_Ces évaluations peuvent utiliser des outils automatisés, mais l’approbation finale reste généralement manuelle."/>
    <x v="2"/>
  </r>
  <r>
    <x v="3"/>
    <s v="La conformité technique est évaluée en continu avec des outils automatisés"/>
    <s v="Les configurations cloud sont analysées automatiquement afin de vérifier leur conformité avec les standards et réglementations applicables._x000a_Ces contrôles sont généralement réalisés à l’aide d’outils de sécurité ou de conformité cloud."/>
    <x v="3"/>
  </r>
  <r>
    <x v="4"/>
    <s v="Des garde-fous préventifs sont mis en place pour la conformité"/>
    <s v="Des règles préventives empêchent la mise en place de configurations non conformes dans les environnements cloud._x000a_Par exemple, certaines politiques peuvent bloquer l’utilisation de services ou de régions non autorisés."/>
    <x v="4"/>
  </r>
  <r>
    <x v="5"/>
    <s v="Le reporting de conformité est automatisé et centralisé"/>
    <s v="Des tableaux de bord centralisés permettent de suivre l’état de conformité des environnements cloud._x000a_Les rapports et les preuves de conformité sont générés automatiquement et consolidés à l’échelle de l’organisation."/>
    <x v="3"/>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Collecte de logs de base mise en place mais pas encore cohérente"/>
    <s v="Les principaux logs du plan de gestion du cloud sont collectés, mais la collecte peut ne pas être centralisée ou uniforme._x000a_Les logs d’activité cloud sont au minimum collectés pour la majorité des déploiements."/>
    <x v="0"/>
  </r>
  <r>
    <x v="1"/>
    <s v="Les logs d’activité API du plan de gestion sont collectés et centralisés"/>
    <s v="Les logs liés aux activités du plan de gestion du cloud sont collectés de manière cohérente et centralisés."/>
    <x v="1"/>
  </r>
  <r>
    <x v="2"/>
    <s v="Les flux de détection des menaces du fournisseur cloud sont activés"/>
    <s v="Les flux de sécurité et de détection des menaces fournis par les fournisseurs cloud sont activés et collectés au moins pour les environnements de production, afin d’identifier les activités suspectes."/>
    <x v="2"/>
  </r>
  <r>
    <x v="3"/>
    <s v="Télémétrie de sécurité cloud collectée de manière centralisée"/>
    <s v="Les différentes sources de télémétrie de sécurité du cloud (logs, événements de sécurité, flux de détection, logs des workloads) sont collectées et centralisées afin d’améliorer la supervision et la détection des incidents."/>
    <x v="0"/>
  </r>
  <r>
    <x v="4"/>
    <s v="Les détecteurs de menaces natifs du cloud sont activés"/>
    <s v="Les outils de détection des menaces fournis par la plateforme cloud surveillent les activités du cloud (plan de gestion, événements, etc.) afin d’identifier des comportements suspects ou des attaques potentielles."/>
    <x v="3"/>
  </r>
  <r>
    <x v="5"/>
    <s v="Les configurations de télémétrie de sécurité cloud sont déployées automatiquement et de manière cohérente"/>
    <s v="Les configurations de télémétrie de sécurité (logs, événements de sécurité, données de surveillance) sont automatiquement déployées sur les différents composants du cloud : ressources, services et workloads."/>
    <x v="4"/>
  </r>
  <r>
    <x v="6"/>
    <s v="Des outils automatisés vérifient que la télémétrie de sécurité et les mécanismes de détection sont actifs et efficaces"/>
    <s v="Des outils automatisés vérifient que les systèmes de télémétrie et de détection de sécurité fonctionnent correctement."/>
    <x v="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Ports sensibles non exposés"/>
    <s v="Les ports sensibles (par exemple SSH, RDP ou ports de bases de données) ne sont pas accessibles directement depuis Internet."/>
    <x v="0"/>
  </r>
  <r>
    <x v="1"/>
    <s v="Ressources non exposées"/>
    <s v="Les ressources cloud (machines virtuelles, conteneurs, etc.) sont protégées par des mécanismes de sécurité réseau comme des load balancers ou des règles de filtrage, et sont idéalement placées dans des réseaux privés."/>
    <x v="1"/>
  </r>
  <r>
    <x v="2"/>
    <s v="Ports réseau limités"/>
    <s v="Les règles de sécurité réseau limitent les ports ouverts afin de réduire les surfaces d’attaque."/>
    <x v="2"/>
  </r>
  <r>
    <x v="3"/>
    <s v="Réseaux déployés via IaC"/>
    <s v="Les configurations réseau sont déployées et maintenues à l’aide de modèles automatisés (IaC) basés sur des configurations sécurisées approuvées"/>
    <x v="3"/>
  </r>
  <r>
    <x v="4"/>
    <s v="Mise en place d’une architecture réseau minimale sécurisée"/>
    <s v="Les architectures réseau cloud utilisent uniquement les ressources nécessaires au fonctionnement des applications, avec :_x000a_- des règles de sécurité strictes_x000a_- des tables de routage limitées_x000a_- une segmentation du réseau._x000a_Cela permet de réduire la surface d’attaque et limiter l’impact d’un incident réseau."/>
    <x v="4"/>
  </r>
  <r>
    <x v="5"/>
    <s v="Les mauvaises configurations réseau exposées à Internet sont corrigées automatiquement"/>
    <s v="Des outils automatisés détectent et corrigent les mauvaises configurations réseau exposées à Internet, comme :_x000a_- l’ouverture de ports sensibles (ex. SSH, RDP)_x000a_- des règles réseau trop permissives."/>
    <x v="3"/>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Modélisation des menaces pour les applications cloud"/>
    <s v="Une analyse de menaces est réalisée pour les applications développées ou migrées vers le cloud._x000a_Cette analyse prend en compte les risques spécifiques au cloud, notamment l’exposition de ressources accessibles depuis Internet et les risques liés à la gestion des identités et des identifiants."/>
    <x v="0"/>
  </r>
  <r>
    <x v="1"/>
    <s v="Certaines applications sont déployées via des pipelines CI/CD"/>
    <s v="Certaines applications sont développées, testées et déployées à l’aide de pipelines CI/CD._x000a_Cette approche améliore la cohérence et la fiabilité des déploiements et constitue une base pour intégrer des contrôles de sécurité automatisés."/>
    <x v="1"/>
  </r>
  <r>
    <x v="2"/>
    <s v="Des tests de sécurité de base sont intégrés dans certains pipelines"/>
    <s v="Certains pipelines CI/CD intègrent des tests de sécurité applicative tels que l’analyse statique du code (SAST) ou l’analyse des dépendances (SCA)._x000a_Cependant, ces pratiques ne sont pas encore systématisées ou standardisées dans toute l’organisation."/>
    <x v="2"/>
  </r>
  <r>
    <x v="3"/>
    <s v="Utilisation initiale d’un WAF cloud avec règles OWASP Top 10"/>
    <s v="Un pare-feu applicatif (WAF) est utilisé pour protéger certaines applications exposées sur Internet._x000a_Les règles de base, comme celles couvrant les vulnérabilités OWASP Top 10, sont mises en place afin de réduire les risques d’attaques courantes."/>
    <x v="2"/>
  </r>
  <r>
    <x v="4"/>
    <s v="Gestion des secrets pour les applications"/>
    <s v="Application secrets are stored in a secrets manager or vaulting solution."/>
    <x v="3"/>
  </r>
  <r>
    <x v="5"/>
    <s v="Tests de sécurité systématiques dans les pipelines CI/CD"/>
    <s v="Les informations sensibles utilisées par les applications (mots de passe, clés API, tokens) sont stockées dans une solution de gestion de secrets dédiée._x000a_Cela évite leur stockage dans le code source ou les configurations non sécurisées."/>
    <x v="2"/>
  </r>
  <r>
    <x v="6"/>
    <s v="Les vulnérabilités critiques bloquent les déploiements"/>
    <s v="Les pipelines CI/CD bloquent automatiquement les déploiements lorsqu’une vulnérabilité critique ou élevée est détectée._x000a_Cela permet d’éviter l’introduction de failles importantes dans les environnements de production."/>
    <x v="2"/>
  </r>
  <r>
    <x v="7"/>
    <s v="Les applications en production sont évaluées en continu"/>
    <s v="Les applications en production sont analysées régulièrement afin de détecter des erreurs de configuration ou des failles de sécurité._x000a_Ces contrôles peuvent inclure la vérification de l’utilisation du WAF, de l’authentification des API et de l’exposition des ressources."/>
    <x v="4"/>
  </r>
  <r>
    <x v="8"/>
    <s v="Tests de sécurité avancés sur les applications cloud"/>
    <s v="Les applications cloud en production font l’objet de tests de sécurité avancés, réalisés par une équipe de type red team ou via des tests d’intrusion._x000a_Ces tests utilisent des techniques spécifiques au cloud pour identifier des failles dans l’architecture ou la configuration."/>
    <x v="4"/>
  </r>
  <r>
    <x v="9"/>
    <s v="Tests de sécurité des infrastructures as code"/>
    <s v="Les modèles d’infrastructure as code (IaC) sont analysés automatiquement afin de détecter les erreurs de configuration ou les violations de politiques de sécurité avant leur déploiement en production."/>
    <x v="2"/>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Les fournisseurs cloud font l’objet d’une évaluation des risques"/>
    <s v="Une équipe sécurité ou gestion des risques réalise une évaluation des risques avant l’autorisation d’utilisation d’un nouveau fournisseur cloud._x000a_Un registre des fournisseurs approuvés est maintenu. Le processus peut encore être partiellement informel, mais il doit être documenté."/>
    <x v="0"/>
  </r>
  <r>
    <x v="1"/>
    <s v="Le registre des fournisseurs cloud indique les types de données autorisés"/>
    <s v="Le registre des fournisseurs cloud précise quels types ou niveaux de classification de données peuvent être utilisés avec chaque fournisseur._x000a_Cela permet d’aligner le niveau de risque du fournisseur avec la sensibilité des données traitées."/>
    <x v="1"/>
  </r>
  <r>
    <x v="2"/>
    <s v="Le registre cloud inclut les niveaux de risque et les autorisations des services"/>
    <s v="Le registre des fournisseurs cloud inclut les services proposés, leur niveau de risque et les classifications de données autorisées._x000a_Par exemple, certains services peuvent être autorisés uniquement pour des données non sensibles."/>
    <x v="2"/>
  </r>
  <r>
    <x v="3"/>
    <s v="La sécurité réalise des analyses de risques sur les déploiements cloud en production"/>
    <s v="L’équipe sécurité réalise des évaluations de risques documentées pour les déploiements cloud en production._x000a_Ces évaluations sont réalisées régulièrement (par exemple chaque année) ou lors de changements majeurs dans l’architecture ou l’application."/>
    <x v="3"/>
  </r>
  <r>
    <x v="4"/>
    <s v="Un processus formel est utilisé pour évaluer les risques des déploiements cloud"/>
    <s v="L’organisation utilise un processus formel et des critères définis pour évaluer les risques des déploiements cloud avant leur mise en production._x000a_Les analyses de risques sont mises à jour régulièrement et des plans de remédiation sont définis pour les risques identifiés."/>
    <x v="4"/>
  </r>
  <r>
    <x v="5"/>
    <s v="Les risques des fournisseurs cloud sont évalués en continu"/>
    <s v="Les risques associés aux fournisseurs cloud et à leurs services sont évalués régulièrement afin de prendre en compte les nouvelles fonctionnalités ou les changements de services._x000a_Les services peuvent être autorisés ou restreints selon le type de données qu’ils traitent."/>
    <x v="3"/>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Une équipe de réponse aux incidents cloud est désignée"/>
    <s v="Une équipe ou un service est chargé de répondre aux incidents de sécurité dans les environnements cloud._x000a_Les procédures de réponse aux incidents sont documentées et adaptées aux spécificités du cloud, même si elles restent principalement manuelles."/>
    <x v="0"/>
  </r>
  <r>
    <x v="1"/>
    <s v="Des playbooks de réponse aux incidents cloud sont documentés"/>
    <s v="Des playbooks documentent les procédures de réponse pour les principaux types d’incidents cloud._x000a_Ces playbooks peuvent couvrir des situations comme l’exposition de données, la compromission d’identifiants ou l’accès non autorisé à des ressources cloud._x000a__x000a_"/>
    <x v="1"/>
  </r>
  <r>
    <x v="2"/>
    <s v="Les équipes de réponse aux incidents ont un accès en lecture aux déploiements cloud"/>
    <s v="Les équipes de réponse aux incidents disposent au minimum d’un accès en lecture aux ressources et configurations des environnements cloud._x000a_Cela leur permet d’analyser les incidents en utilisant les journaux, la configuration des ressources et le contexte technique des déploiements."/>
    <x v="2"/>
  </r>
  <r>
    <x v="3"/>
    <s v="Automatisation de la détection et de la réponse aux incidents cloud"/>
    <s v="Des outils permettent d’automatiser la détection, l’enrichissement et la priorisation des incidents de sécurité dans le cloud._x000a_Ces solutions peuvent inclure des plateformes CDR, SOAR ou d’autres outils d’automatisation pour accélérer l’analyse et la réponse aux incidents."/>
    <x v="1"/>
  </r>
  <r>
    <x v="4"/>
    <s v="Outils d’automatisation pour la réponse aux incidents"/>
    <s v="Des outils ou scripts automatisés assistent les équipes dans les tâches de réponse aux incidents._x000a_Ils peuvent par exemple collecter des informations, créer des snapshots, isoler des ressources compromises ou révoquer des identifiants."/>
    <x v="3"/>
  </r>
  <r>
    <x v="5"/>
    <s v="Les équipes peuvent escalader vers un accès administrateur complet"/>
    <s v="En cas d’incident majeur, les équipes de réponse aux incidents peuvent obtenir temporairement un accès administrateur complet aux environnements cloud._x000a_Ce type d’accès doit être contrôlé par un mécanisme sécurisé, avec authentification forte et traçabilité"/>
    <x v="4"/>
  </r>
  <r>
    <x v="6"/>
    <s v="Remédiation automatique des incidents"/>
    <s v="Certaines actions de remédiation sont automatisées afin de corriger rapidement des incidents connus._x000a_Par exemple, une mauvaise configuration de sécurité peut être détectée et corrigée automatiquement pour limiter les risques."/>
    <x v="4"/>
  </r>
  <r>
    <x v="7"/>
    <s v="Les équipes cloud et développement participent à la réponse aux incidents"/>
    <s v="Les équipes de développement et d’exploitation participent activement à la gestion des incidents affectant leurs environnements cloud._x000a_Des outils collaboratifs ou des workflows automatisés facilitent la communication et l’escalade des incident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06049-6235-434A-97C6-34B5E5CDBCA1}" name="Tableau croisé dynamique13" cacheId="1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D8:E15"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Max. de Niveau de maturité" fld="3" subtotal="max"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326D8-4AC4-48F9-A74E-29276A76DF54}" name="Tableau croisé dynamique14" cacheId="1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L8:M14" firstHeaderRow="1" firstDataRow="1" firstDataCol="1"/>
  <pivotFields count="4">
    <pivotField dataField="1" showAll="0"/>
    <pivotField showAll="0"/>
    <pivotField showAll="0"/>
    <pivotField axis="axisRow" showAll="0">
      <items count="6">
        <item x="0"/>
        <item x="3"/>
        <item x="1"/>
        <item x="2"/>
        <item x="4"/>
        <item t="default"/>
      </items>
    </pivotField>
  </pivotFields>
  <rowFields count="1">
    <field x="3"/>
  </rowFields>
  <rowItems count="6">
    <i>
      <x/>
    </i>
    <i>
      <x v="1"/>
    </i>
    <i>
      <x v="2"/>
    </i>
    <i>
      <x v="3"/>
    </i>
    <i>
      <x v="4"/>
    </i>
    <i t="grand">
      <x/>
    </i>
  </rowItems>
  <colItems count="1">
    <i/>
  </colItems>
  <dataFields count="1">
    <dataField name="Nombre d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687AD-2245-4247-B89B-997A8CF8E380}" name="Tableau croisé dynamique16" cacheId="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K4:L10" firstHeaderRow="1" firstDataRow="1" firstDataCol="1"/>
  <pivotFields count="4">
    <pivotField dataField="1" showAll="0"/>
    <pivotField showAll="0"/>
    <pivotField showAll="0"/>
    <pivotField axis="axisRow" showAll="0">
      <items count="6">
        <item x="0"/>
        <item x="4"/>
        <item x="3"/>
        <item x="1"/>
        <item x="2"/>
        <item t="default"/>
      </items>
    </pivotField>
  </pivotFields>
  <rowFields count="1">
    <field x="3"/>
  </rowFields>
  <rowItems count="6">
    <i>
      <x/>
    </i>
    <i>
      <x v="1"/>
    </i>
    <i>
      <x v="2"/>
    </i>
    <i>
      <x v="3"/>
    </i>
    <i>
      <x v="4"/>
    </i>
    <i t="grand">
      <x/>
    </i>
  </rowItems>
  <colItems count="1">
    <i/>
  </colItems>
  <dataFields count="1">
    <dataField name="Nombre d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8C81C-0FDF-4A6B-A8BA-A600E1887C1D}" name="Tableau croisé dynamique15" cacheId="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B13" firstHeaderRow="1" firstDataRow="1" firstDataCol="1"/>
  <pivotFields count="4">
    <pivotField axis="axisRow" showAll="0">
      <items count="12">
        <item x="0"/>
        <item x="1"/>
        <item x="2"/>
        <item x="3"/>
        <item x="4"/>
        <item x="5"/>
        <item x="6"/>
        <item x="7"/>
        <item x="8"/>
        <item x="9"/>
        <item x="10"/>
        <item t="default"/>
      </items>
    </pivotField>
    <pivotField showAll="0"/>
    <pivotField showAll="0"/>
    <pivotField dataField="1" showAll="0"/>
  </pivotFields>
  <rowFields count="1">
    <field x="0"/>
  </rowFields>
  <rowItems count="12">
    <i>
      <x/>
    </i>
    <i>
      <x v="1"/>
    </i>
    <i>
      <x v="2"/>
    </i>
    <i>
      <x v="3"/>
    </i>
    <i>
      <x v="4"/>
    </i>
    <i>
      <x v="5"/>
    </i>
    <i>
      <x v="6"/>
    </i>
    <i>
      <x v="7"/>
    </i>
    <i>
      <x v="8"/>
    </i>
    <i>
      <x v="9"/>
    </i>
    <i>
      <x v="10"/>
    </i>
    <i t="grand">
      <x/>
    </i>
  </rowItems>
  <colItems count="1">
    <i/>
  </colItems>
  <dataFields count="1">
    <dataField name="Max. de Niveau de maturité"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1E9DD-82F9-418A-9876-22537A4775B7}" name="Tableau croisé dynamique4"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0">
  <location ref="C25:D31" firstHeaderRow="1" firstDataRow="1" firstDataCol="1"/>
  <pivotFields count="4">
    <pivotField dataField="1" showAll="0"/>
    <pivotField showAll="0"/>
    <pivotField showAll="0"/>
    <pivotField axis="axisRow" showAll="0">
      <items count="6">
        <item x="1"/>
        <item x="3"/>
        <item x="4"/>
        <item x="2"/>
        <item x="0"/>
        <item t="default"/>
      </items>
    </pivotField>
  </pivotFields>
  <rowFields count="1">
    <field x="3"/>
  </rowFields>
  <rowItems count="6">
    <i>
      <x/>
    </i>
    <i>
      <x v="1"/>
    </i>
    <i>
      <x v="2"/>
    </i>
    <i>
      <x v="3"/>
    </i>
    <i>
      <x v="4"/>
    </i>
    <i t="grand">
      <x/>
    </i>
  </rowItems>
  <colItems count="1">
    <i/>
  </colItems>
  <dataFields count="1">
    <dataField name="Nombre de ID" fld="0" subtotal="count" baseField="0" baseItem="0"/>
  </dataFields>
  <chartFormats count="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26653F-895A-43A9-BF2C-8AAF98A46633}" name="Tableau croisé dynamique5"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5">
  <location ref="B5:C15" firstHeaderRow="1" firstDataRow="1" firstDataCol="1"/>
  <pivotFields count="4">
    <pivotField axis="axisRow" showAll="0">
      <items count="10">
        <item x="0"/>
        <item x="1"/>
        <item x="2"/>
        <item x="3"/>
        <item x="4"/>
        <item x="5"/>
        <item x="6"/>
        <item x="7"/>
        <item x="8"/>
        <item t="default"/>
      </items>
    </pivotField>
    <pivotField showAll="0"/>
    <pivotField showAll="0"/>
    <pivotField dataField="1" showAll="0"/>
  </pivotFields>
  <rowFields count="1">
    <field x="0"/>
  </rowFields>
  <rowItems count="10">
    <i>
      <x/>
    </i>
    <i>
      <x v="1"/>
    </i>
    <i>
      <x v="2"/>
    </i>
    <i>
      <x v="3"/>
    </i>
    <i>
      <x v="4"/>
    </i>
    <i>
      <x v="5"/>
    </i>
    <i>
      <x v="6"/>
    </i>
    <i>
      <x v="7"/>
    </i>
    <i>
      <x v="8"/>
    </i>
    <i t="grand">
      <x/>
    </i>
  </rowItems>
  <colItems count="1">
    <i/>
  </colItems>
  <dataFields count="1">
    <dataField name="Somme de Niveau de maturité" fld="3" baseField="0" baseItem="1"/>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C25F7A-4FD2-4C7C-937A-BF96D3203709}" name="Tableau croisé dynamique6" cacheId="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B4:C12" firstHeaderRow="1" firstDataRow="1" firstDataCol="1"/>
  <pivotFields count="4">
    <pivotField axis="axisRow" showAll="0">
      <items count="8">
        <item x="0"/>
        <item x="1"/>
        <item x="2"/>
        <item x="3"/>
        <item x="4"/>
        <item x="5"/>
        <item x="6"/>
        <item t="default"/>
      </items>
    </pivotField>
    <pivotField showAll="0"/>
    <pivotField showAll="0"/>
    <pivotField dataField="1" showAll="0"/>
  </pivotFields>
  <rowFields count="1">
    <field x="0"/>
  </rowFields>
  <rowItems count="8">
    <i>
      <x/>
    </i>
    <i>
      <x v="1"/>
    </i>
    <i>
      <x v="2"/>
    </i>
    <i>
      <x v="3"/>
    </i>
    <i>
      <x v="4"/>
    </i>
    <i>
      <x v="5"/>
    </i>
    <i>
      <x v="6"/>
    </i>
    <i t="grand">
      <x/>
    </i>
  </rowItems>
  <colItems count="1">
    <i/>
  </colItems>
  <dataFields count="1">
    <dataField name="Max. de Niveau de maturité"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502F0A-B1E0-4F0B-80E8-51DADE94E798}" name="Tableau croisé dynamique7"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I2:J9" firstHeaderRow="1" firstDataRow="1" firstDataCol="1"/>
  <pivotFields count="4">
    <pivotField dataField="1" showAll="0"/>
    <pivotField showAll="0"/>
    <pivotField showAll="0"/>
    <pivotField axis="axisRow" showAll="0">
      <items count="8">
        <item x="5"/>
        <item x="4"/>
        <item x="2"/>
        <item x="1"/>
        <item x="3"/>
        <item x="0"/>
        <item h="1" x="6"/>
        <item t="default"/>
      </items>
    </pivotField>
  </pivotFields>
  <rowFields count="1">
    <field x="3"/>
  </rowFields>
  <rowItems count="7">
    <i>
      <x/>
    </i>
    <i>
      <x v="1"/>
    </i>
    <i>
      <x v="2"/>
    </i>
    <i>
      <x v="3"/>
    </i>
    <i>
      <x v="4"/>
    </i>
    <i>
      <x v="5"/>
    </i>
    <i t="grand">
      <x/>
    </i>
  </rowItems>
  <colItems count="1">
    <i/>
  </colItems>
  <dataFields count="1">
    <dataField name="Nombre de 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47164A-93E2-41AD-BFF5-A8F1619C1D2E}" name="Tableau croisé dynamique9" cacheId="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J4:K10" firstHeaderRow="1" firstDataRow="1" firstDataCol="1"/>
  <pivotFields count="4">
    <pivotField dataField="1" showAll="0"/>
    <pivotField showAll="0"/>
    <pivotField showAll="0"/>
    <pivotField axis="axisRow" showAll="0">
      <items count="6">
        <item x="2"/>
        <item x="0"/>
        <item x="3"/>
        <item x="4"/>
        <item x="1"/>
        <item t="default"/>
      </items>
    </pivotField>
  </pivotFields>
  <rowFields count="1">
    <field x="3"/>
  </rowFields>
  <rowItems count="6">
    <i>
      <x/>
    </i>
    <i>
      <x v="1"/>
    </i>
    <i>
      <x v="2"/>
    </i>
    <i>
      <x v="3"/>
    </i>
    <i>
      <x v="4"/>
    </i>
    <i t="grand">
      <x/>
    </i>
  </rowItems>
  <colItems count="1">
    <i/>
  </colItems>
  <dataFields count="1">
    <dataField name="Nombre d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1BEC31-55A8-4905-9E91-8EF65C3E8E53}" name="Tableau croisé dynamique8" cacheId="4"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B9" firstHeaderRow="1" firstDataRow="1" firstDataCol="1"/>
  <pivotFields count="4">
    <pivotField axis="axisRow" showAll="0">
      <items count="8">
        <item x="0"/>
        <item x="1"/>
        <item x="2"/>
        <item x="3"/>
        <item x="4"/>
        <item x="5"/>
        <item x="6"/>
        <item t="default"/>
      </items>
    </pivotField>
    <pivotField showAll="0"/>
    <pivotField showAll="0"/>
    <pivotField dataField="1" showAll="0"/>
  </pivotFields>
  <rowFields count="1">
    <field x="0"/>
  </rowFields>
  <rowItems count="8">
    <i>
      <x/>
    </i>
    <i>
      <x v="1"/>
    </i>
    <i>
      <x v="2"/>
    </i>
    <i>
      <x v="3"/>
    </i>
    <i>
      <x v="4"/>
    </i>
    <i>
      <x v="5"/>
    </i>
    <i>
      <x v="6"/>
    </i>
    <i t="grand">
      <x/>
    </i>
  </rowItems>
  <colItems count="1">
    <i/>
  </colItems>
  <dataFields count="1">
    <dataField name="Max. de Niveau de maturité "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2A188B-F2D6-47FA-8320-743DC5F3A7B6}" name="Tableau croisé dynamique10" cacheId="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B4:C12" firstHeaderRow="1" firstDataRow="1" firstDataCol="1"/>
  <pivotFields count="4">
    <pivotField axis="axisRow" showAll="0">
      <items count="8">
        <item x="0"/>
        <item x="1"/>
        <item x="2"/>
        <item x="3"/>
        <item x="4"/>
        <item x="5"/>
        <item x="6"/>
        <item t="default"/>
      </items>
    </pivotField>
    <pivotField showAll="0"/>
    <pivotField showAll="0"/>
    <pivotField dataField="1" showAll="0"/>
  </pivotFields>
  <rowFields count="1">
    <field x="0"/>
  </rowFields>
  <rowItems count="8">
    <i>
      <x/>
    </i>
    <i>
      <x v="1"/>
    </i>
    <i>
      <x v="2"/>
    </i>
    <i>
      <x v="3"/>
    </i>
    <i>
      <x v="4"/>
    </i>
    <i>
      <x v="5"/>
    </i>
    <i>
      <x v="6"/>
    </i>
    <i t="grand">
      <x/>
    </i>
  </rowItems>
  <colItems count="1">
    <i/>
  </colItems>
  <dataFields count="1">
    <dataField name="Max. de Niveau de maturité"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C3D614-6BDC-483E-828D-25AFE399FFA7}" name="Tableau croisé dynamique11" cacheId="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L6:M12" firstHeaderRow="1" firstDataRow="1" firstDataCol="1"/>
  <pivotFields count="4">
    <pivotField dataField="1" showAll="0"/>
    <pivotField showAll="0"/>
    <pivotField showAll="0"/>
    <pivotField axis="axisRow" showAll="0">
      <items count="6">
        <item x="2"/>
        <item x="4"/>
        <item x="3"/>
        <item x="0"/>
        <item x="1"/>
        <item t="default"/>
      </items>
    </pivotField>
  </pivotFields>
  <rowFields count="1">
    <field x="3"/>
  </rowFields>
  <rowItems count="6">
    <i>
      <x/>
    </i>
    <i>
      <x v="1"/>
    </i>
    <i>
      <x v="2"/>
    </i>
    <i>
      <x v="3"/>
    </i>
    <i>
      <x v="4"/>
    </i>
    <i t="grand">
      <x/>
    </i>
  </rowItems>
  <colItems count="1">
    <i/>
  </colItems>
  <dataFields count="1">
    <dataField name="Nombre d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0595F2-FA2A-4216-87D6-3B644AFC8FA8}" name="Tableau croisé dynamique18" cacheId="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J3:K9" firstHeaderRow="1" firstDataRow="1" firstDataCol="1"/>
  <pivotFields count="4">
    <pivotField dataField="1" showAll="0"/>
    <pivotField showAll="0"/>
    <pivotField showAll="0"/>
    <pivotField axis="axisRow" showAll="0">
      <items count="6">
        <item x="0"/>
        <item x="4"/>
        <item x="1"/>
        <item x="2"/>
        <item x="3"/>
        <item t="default"/>
      </items>
    </pivotField>
  </pivotFields>
  <rowFields count="1">
    <field x="3"/>
  </rowFields>
  <rowItems count="6">
    <i>
      <x/>
    </i>
    <i>
      <x v="1"/>
    </i>
    <i>
      <x v="2"/>
    </i>
    <i>
      <x v="3"/>
    </i>
    <i>
      <x v="4"/>
    </i>
    <i t="grand">
      <x/>
    </i>
  </rowItems>
  <colItems count="1">
    <i/>
  </colItems>
  <dataFields count="1">
    <dataField name="Nombre d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40E3AF-41D9-4146-9982-C2062B3E029F}" name="Tableau croisé dynamique17" cacheId="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B10" firstHeaderRow="1" firstDataRow="1" firstDataCol="1"/>
  <pivotFields count="4">
    <pivotField axis="axisRow" showAll="0">
      <items count="9">
        <item x="0"/>
        <item x="1"/>
        <item x="2"/>
        <item x="3"/>
        <item x="4"/>
        <item x="5"/>
        <item x="6"/>
        <item x="7"/>
        <item t="default"/>
      </items>
    </pivotField>
    <pivotField showAll="0"/>
    <pivotField showAll="0"/>
    <pivotField dataField="1" showAll="0"/>
  </pivotFields>
  <rowFields count="1">
    <field x="0"/>
  </rowFields>
  <rowItems count="9">
    <i>
      <x/>
    </i>
    <i>
      <x v="1"/>
    </i>
    <i>
      <x v="2"/>
    </i>
    <i>
      <x v="3"/>
    </i>
    <i>
      <x v="4"/>
    </i>
    <i>
      <x v="5"/>
    </i>
    <i>
      <x v="6"/>
    </i>
    <i>
      <x v="7"/>
    </i>
    <i t="grand">
      <x/>
    </i>
  </rowItems>
  <colItems count="1">
    <i/>
  </colItems>
  <dataFields count="1">
    <dataField name="Somme de Niveau de maturité" fld="3"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62BC26-0F30-4378-A4EA-3F47DCBF3ACC}" name="Tableau croisé dynamique22" cacheId="1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J2:K8" firstHeaderRow="1" firstDataRow="1" firstDataCol="1"/>
  <pivotFields count="4">
    <pivotField dataField="1" showAll="0"/>
    <pivotField showAll="0"/>
    <pivotField showAll="0"/>
    <pivotField axis="axisRow" showAll="0">
      <items count="6">
        <item x="4"/>
        <item x="3"/>
        <item x="2"/>
        <item x="1"/>
        <item x="0"/>
        <item t="default"/>
      </items>
    </pivotField>
  </pivotFields>
  <rowFields count="1">
    <field x="3"/>
  </rowFields>
  <rowItems count="6">
    <i>
      <x/>
    </i>
    <i>
      <x v="1"/>
    </i>
    <i>
      <x v="2"/>
    </i>
    <i>
      <x v="3"/>
    </i>
    <i>
      <x v="4"/>
    </i>
    <i t="grand">
      <x/>
    </i>
  </rowItems>
  <colItems count="1">
    <i/>
  </colItems>
  <dataFields count="1">
    <dataField name="Nombre de 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4"/>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821D29A-3E57-4E60-A78E-2C8011E08B94}" name="Tableau croisé dynamique21" cacheId="1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B8"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omme de Niveau de maturité" fld="3"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A4AF7CF-3A9A-437B-BB44-A3173B258F70}" name="Tableau croisé dynamique24" cacheId="7"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6">
  <location ref="K2:L8" firstHeaderRow="1" firstDataRow="1" firstDataCol="1"/>
  <pivotFields count="4">
    <pivotField dataField="1" showAll="0"/>
    <pivotField showAll="0"/>
    <pivotField showAll="0"/>
    <pivotField axis="axisRow" showAll="0">
      <items count="6">
        <item x="4"/>
        <item x="0"/>
        <item x="3"/>
        <item x="1"/>
        <item x="2"/>
        <item t="default"/>
      </items>
    </pivotField>
  </pivotFields>
  <rowFields count="1">
    <field x="3"/>
  </rowFields>
  <rowItems count="6">
    <i>
      <x/>
    </i>
    <i>
      <x v="1"/>
    </i>
    <i>
      <x v="2"/>
    </i>
    <i>
      <x v="3"/>
    </i>
    <i>
      <x v="4"/>
    </i>
    <i t="grand">
      <x/>
    </i>
  </rowItems>
  <colItems count="1">
    <i/>
  </colItems>
  <dataFields count="1">
    <dataField name="Nombre de 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3"/>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F32BA8B-D086-4E24-AABE-DB569BE22687}" name="Tableau croisé dynamique23" cacheId="7"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B10" firstHeaderRow="1" firstDataRow="1" firstDataCol="1"/>
  <pivotFields count="4">
    <pivotField axis="axisRow" showAll="0">
      <items count="9">
        <item x="0"/>
        <item x="1"/>
        <item x="2"/>
        <item x="3"/>
        <item x="4"/>
        <item x="5"/>
        <item x="6"/>
        <item x="7"/>
        <item t="default"/>
      </items>
    </pivotField>
    <pivotField showAll="0"/>
    <pivotField showAll="0"/>
    <pivotField dataField="1" showAll="0"/>
  </pivotFields>
  <rowFields count="1">
    <field x="0"/>
  </rowFields>
  <rowItems count="9">
    <i>
      <x/>
    </i>
    <i>
      <x v="1"/>
    </i>
    <i>
      <x v="2"/>
    </i>
    <i>
      <x v="3"/>
    </i>
    <i>
      <x v="4"/>
    </i>
    <i>
      <x v="5"/>
    </i>
    <i>
      <x v="6"/>
    </i>
    <i>
      <x v="7"/>
    </i>
    <i t="grand">
      <x/>
    </i>
  </rowItems>
  <colItems count="1">
    <i/>
  </colItems>
  <dataFields count="1">
    <dataField name="Max. de Niveau de maturité"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5C1623-9F2E-4842-BDBF-284C194827A5}" name="Tableau croisé dynamique26" cacheId="8"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K5:L11" firstHeaderRow="1" firstDataRow="1" firstDataCol="1"/>
  <pivotFields count="4">
    <pivotField dataField="1" showAll="0"/>
    <pivotField showAll="0"/>
    <pivotField showAll="0"/>
    <pivotField axis="axisRow" showAll="0">
      <items count="6">
        <item x="3"/>
        <item x="1"/>
        <item x="2"/>
        <item x="4"/>
        <item x="0"/>
        <item t="default"/>
      </items>
    </pivotField>
  </pivotFields>
  <rowFields count="1">
    <field x="3"/>
  </rowFields>
  <rowItems count="6">
    <i>
      <x/>
    </i>
    <i>
      <x v="1"/>
    </i>
    <i>
      <x v="2"/>
    </i>
    <i>
      <x v="3"/>
    </i>
    <i>
      <x v="4"/>
    </i>
    <i t="grand">
      <x/>
    </i>
  </rowItems>
  <colItems count="1">
    <i/>
  </colItems>
  <dataFields count="1">
    <dataField name="Nombre d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A68E751-3FEC-4A26-8C45-464FE563ABD2}" name="Tableau croisé dynamique25" cacheId="8"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B8"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Max. de Niveau de maturité"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590FCE-4CB7-4945-A44D-729277E7BF5B}" name="Tableau croisé dynamique28" cacheId="1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K2:L8" firstHeaderRow="1" firstDataRow="1" firstDataCol="1"/>
  <pivotFields count="4">
    <pivotField dataField="1" showAll="0"/>
    <pivotField showAll="0"/>
    <pivotField showAll="0"/>
    <pivotField axis="axisRow" showAll="0">
      <items count="6">
        <item x="0"/>
        <item x="4"/>
        <item x="2"/>
        <item x="1"/>
        <item x="3"/>
        <item t="default"/>
      </items>
    </pivotField>
  </pivotFields>
  <rowFields count="1">
    <field x="3"/>
  </rowFields>
  <rowItems count="6">
    <i>
      <x/>
    </i>
    <i>
      <x v="1"/>
    </i>
    <i>
      <x v="2"/>
    </i>
    <i>
      <x v="3"/>
    </i>
    <i>
      <x v="4"/>
    </i>
    <i t="grand">
      <x/>
    </i>
  </rowItems>
  <colItems count="1">
    <i/>
  </colItems>
  <dataFields count="1">
    <dataField name="Nombre d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49D9367-B9E3-4C8D-BFE7-318B688F0B2D}" name="Tableau croisé dynamique27" cacheId="1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A1:B10" firstHeaderRow="1" firstDataRow="1" firstDataCol="1"/>
  <pivotFields count="4">
    <pivotField axis="axisRow" showAll="0">
      <items count="9">
        <item x="0"/>
        <item x="1"/>
        <item x="2"/>
        <item x="3"/>
        <item x="4"/>
        <item x="5"/>
        <item x="6"/>
        <item x="7"/>
        <item t="default"/>
      </items>
    </pivotField>
    <pivotField showAll="0"/>
    <pivotField showAll="0"/>
    <pivotField dataField="1" showAll="0"/>
  </pivotFields>
  <rowFields count="1">
    <field x="0"/>
  </rowFields>
  <rowItems count="9">
    <i>
      <x/>
    </i>
    <i>
      <x v="1"/>
    </i>
    <i>
      <x v="2"/>
    </i>
    <i>
      <x v="3"/>
    </i>
    <i>
      <x v="4"/>
    </i>
    <i>
      <x v="5"/>
    </i>
    <i>
      <x v="6"/>
    </i>
    <i>
      <x v="7"/>
    </i>
    <i t="grand">
      <x/>
    </i>
  </rowItems>
  <colItems count="1">
    <i/>
  </colItems>
  <dataFields count="1">
    <dataField name="Max. de Niveau de maturité"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2BA9FFB-A38B-45EF-8186-ACBEEF38420C}" name="Tableau croisé dynamique20"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L6:M12" firstHeaderRow="1" firstDataRow="1" firstDataCol="1"/>
  <pivotFields count="4">
    <pivotField dataField="1" showAll="0"/>
    <pivotField showAll="0"/>
    <pivotField showAll="0"/>
    <pivotField axis="axisRow" showAll="0">
      <items count="6">
        <item x="1"/>
        <item x="0"/>
        <item x="4"/>
        <item x="2"/>
        <item x="3"/>
        <item t="default"/>
      </items>
    </pivotField>
  </pivotFields>
  <rowFields count="1">
    <field x="3"/>
  </rowFields>
  <rowItems count="6">
    <i>
      <x/>
    </i>
    <i>
      <x v="1"/>
    </i>
    <i>
      <x v="2"/>
    </i>
    <i>
      <x v="3"/>
    </i>
    <i>
      <x v="4"/>
    </i>
    <i t="grand">
      <x/>
    </i>
  </rowItems>
  <colItems count="1">
    <i/>
  </colItems>
  <dataFields count="1">
    <dataField name="Nombre de 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F0EC9CC-FEA1-4DC9-817F-D2ADF404B414}" name="Tableau croisé dynamique19"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B12" firstHeaderRow="1" firstDataRow="1" firstDataCol="1"/>
  <pivotFields count="4">
    <pivotField axis="axisRow" showAll="0">
      <items count="11">
        <item x="0"/>
        <item x="1"/>
        <item x="2"/>
        <item x="3"/>
        <item x="4"/>
        <item x="5"/>
        <item x="6"/>
        <item x="7"/>
        <item x="8"/>
        <item x="9"/>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Max. de Niveau de maturité" fld="3"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627C-6F3C-2A45-B3A1-99BDB059A5BB}">
  <sheetPr>
    <pageSetUpPr fitToPage="1"/>
  </sheetPr>
  <dimension ref="A1:IV25"/>
  <sheetViews>
    <sheetView showGridLines="0" tabSelected="1" zoomScale="80" zoomScaleNormal="80" workbookViewId="0">
      <pane xSplit="1" ySplit="2" topLeftCell="B3" activePane="bottomRight" state="frozen"/>
      <selection pane="topRight" activeCell="B1" sqref="B1"/>
      <selection pane="bottomLeft" activeCell="A3" sqref="A3"/>
      <selection pane="bottomRight" activeCell="G1" sqref="G1"/>
    </sheetView>
  </sheetViews>
  <sheetFormatPr baseColWidth="10" defaultColWidth="16.33203125" defaultRowHeight="19.95" customHeight="1"/>
  <cols>
    <col min="1" max="1" width="20" style="1" customWidth="1"/>
    <col min="2" max="2" width="46" style="1" customWidth="1"/>
    <col min="3" max="7" width="30.77734375" style="1" customWidth="1"/>
    <col min="8" max="256" width="16.33203125" style="1" customWidth="1"/>
    <col min="257" max="16384" width="16.33203125" style="2"/>
  </cols>
  <sheetData>
    <row r="1" spans="1:8" ht="31.05" customHeight="1">
      <c r="A1" s="40"/>
      <c r="B1" s="41" t="s">
        <v>0</v>
      </c>
      <c r="C1" s="42" t="s">
        <v>417</v>
      </c>
      <c r="D1" s="43" t="s">
        <v>418</v>
      </c>
      <c r="E1" s="43" t="s">
        <v>419</v>
      </c>
      <c r="F1" s="43" t="s">
        <v>420</v>
      </c>
      <c r="G1" s="43" t="s">
        <v>421</v>
      </c>
    </row>
    <row r="2" spans="1:8" s="1" customFormat="1" ht="32.25" customHeight="1">
      <c r="A2" s="9"/>
      <c r="B2" s="10"/>
      <c r="C2" s="16" t="s">
        <v>102</v>
      </c>
      <c r="D2" s="17" t="s">
        <v>103</v>
      </c>
      <c r="E2" s="17" t="s">
        <v>106</v>
      </c>
      <c r="F2" s="17" t="s">
        <v>107</v>
      </c>
      <c r="G2" s="17" t="s">
        <v>105</v>
      </c>
    </row>
    <row r="3" spans="1:8" s="1" customFormat="1" ht="32.25" customHeight="1">
      <c r="A3" s="11"/>
      <c r="B3" s="12"/>
      <c r="C3" s="18" t="s">
        <v>195</v>
      </c>
      <c r="D3" s="18" t="s">
        <v>196</v>
      </c>
      <c r="E3" s="18" t="s">
        <v>197</v>
      </c>
      <c r="F3" s="18" t="s">
        <v>198</v>
      </c>
      <c r="G3" s="19" t="s">
        <v>199</v>
      </c>
    </row>
    <row r="4" spans="1:8" s="1" customFormat="1" ht="32.25" customHeight="1">
      <c r="A4" s="87" t="s">
        <v>109</v>
      </c>
      <c r="B4" s="88"/>
      <c r="C4" s="88"/>
      <c r="D4" s="88"/>
      <c r="E4" s="88"/>
      <c r="F4" s="88"/>
      <c r="G4" s="89"/>
    </row>
    <row r="5" spans="1:8" s="1" customFormat="1" ht="31.95" customHeight="1">
      <c r="A5" s="90" t="s">
        <v>200</v>
      </c>
      <c r="B5" s="90"/>
      <c r="C5" s="90"/>
      <c r="D5" s="90"/>
      <c r="E5" s="90"/>
      <c r="F5" s="90"/>
      <c r="G5" s="90"/>
      <c r="H5" s="85" t="s">
        <v>3</v>
      </c>
    </row>
    <row r="6" spans="1:8" s="1" customFormat="1" ht="177.6" customHeight="1">
      <c r="A6" s="28" t="s">
        <v>110</v>
      </c>
      <c r="B6" s="20" t="s">
        <v>111</v>
      </c>
      <c r="C6" s="21" t="s">
        <v>112</v>
      </c>
      <c r="D6" s="22" t="s">
        <v>113</v>
      </c>
      <c r="E6" s="22" t="s">
        <v>114</v>
      </c>
      <c r="F6" s="23" t="s">
        <v>115</v>
      </c>
      <c r="G6" s="23" t="s">
        <v>116</v>
      </c>
      <c r="H6" s="86"/>
    </row>
    <row r="7" spans="1:8" s="1" customFormat="1" ht="148.94999999999999" customHeight="1">
      <c r="A7" s="29" t="s">
        <v>410</v>
      </c>
      <c r="B7" s="24" t="s">
        <v>117</v>
      </c>
      <c r="C7" s="25" t="s">
        <v>118</v>
      </c>
      <c r="D7" s="26" t="s">
        <v>119</v>
      </c>
      <c r="E7" s="26" t="s">
        <v>120</v>
      </c>
      <c r="F7" s="26" t="s">
        <v>121</v>
      </c>
      <c r="G7" s="26" t="s">
        <v>122</v>
      </c>
      <c r="H7" s="86"/>
    </row>
    <row r="8" spans="1:8" s="1" customFormat="1" ht="178.95" customHeight="1">
      <c r="A8" s="29" t="s">
        <v>1</v>
      </c>
      <c r="B8" s="24" t="s">
        <v>123</v>
      </c>
      <c r="C8" s="25" t="s">
        <v>124</v>
      </c>
      <c r="D8" s="26" t="s">
        <v>125</v>
      </c>
      <c r="E8" s="26" t="s">
        <v>126</v>
      </c>
      <c r="F8" s="26" t="s">
        <v>127</v>
      </c>
      <c r="G8" s="26" t="s">
        <v>128</v>
      </c>
      <c r="H8" s="86"/>
    </row>
    <row r="9" spans="1:8" s="1" customFormat="1" ht="138" customHeight="1">
      <c r="A9" s="29" t="s">
        <v>148</v>
      </c>
      <c r="B9" s="24" t="s">
        <v>129</v>
      </c>
      <c r="C9" s="25" t="s">
        <v>130</v>
      </c>
      <c r="D9" s="26" t="s">
        <v>131</v>
      </c>
      <c r="E9" s="26" t="s">
        <v>132</v>
      </c>
      <c r="F9" s="26" t="s">
        <v>133</v>
      </c>
      <c r="G9" s="26" t="s">
        <v>134</v>
      </c>
      <c r="H9" s="86"/>
    </row>
    <row r="10" spans="1:8" s="1" customFormat="1" ht="31.95" customHeight="1">
      <c r="A10" s="15"/>
      <c r="B10" s="13"/>
      <c r="C10" s="13"/>
      <c r="D10" s="13"/>
      <c r="E10" s="13"/>
      <c r="F10" s="13"/>
      <c r="G10" s="14"/>
      <c r="H10" s="86"/>
    </row>
    <row r="11" spans="1:8" s="1" customFormat="1" ht="31.95" customHeight="1">
      <c r="A11" s="91" t="s">
        <v>2</v>
      </c>
      <c r="B11" s="92"/>
      <c r="C11" s="92"/>
      <c r="D11" s="92"/>
      <c r="E11" s="92"/>
      <c r="F11" s="92"/>
      <c r="G11" s="93"/>
      <c r="H11" s="86"/>
    </row>
    <row r="12" spans="1:8" s="1" customFormat="1" ht="31.95" customHeight="1">
      <c r="A12" s="94" t="s">
        <v>137</v>
      </c>
      <c r="B12" s="95"/>
      <c r="C12" s="95"/>
      <c r="D12" s="95"/>
      <c r="E12" s="95"/>
      <c r="F12" s="95"/>
      <c r="G12" s="96"/>
      <c r="H12" s="86"/>
    </row>
    <row r="13" spans="1:8" s="1" customFormat="1" ht="175.05" customHeight="1">
      <c r="A13" s="29" t="s">
        <v>149</v>
      </c>
      <c r="B13" s="27" t="s">
        <v>136</v>
      </c>
      <c r="C13" s="25" t="s">
        <v>135</v>
      </c>
      <c r="D13" s="26" t="s">
        <v>138</v>
      </c>
      <c r="E13" s="26" t="s">
        <v>139</v>
      </c>
      <c r="F13" s="26" t="s">
        <v>140</v>
      </c>
      <c r="G13" s="26" t="s">
        <v>141</v>
      </c>
      <c r="H13" s="86"/>
    </row>
    <row r="14" spans="1:8" s="1" customFormat="1" ht="135" customHeight="1">
      <c r="A14" s="29" t="s">
        <v>150</v>
      </c>
      <c r="B14" s="27" t="s">
        <v>142</v>
      </c>
      <c r="C14" s="25" t="s">
        <v>143</v>
      </c>
      <c r="D14" s="26" t="s">
        <v>144</v>
      </c>
      <c r="E14" s="26" t="s">
        <v>145</v>
      </c>
      <c r="F14" s="26" t="s">
        <v>146</v>
      </c>
      <c r="G14" s="26" t="s">
        <v>147</v>
      </c>
      <c r="H14" s="86"/>
    </row>
    <row r="15" spans="1:8" s="1" customFormat="1" ht="111.75" customHeight="1">
      <c r="A15" s="29" t="s">
        <v>163</v>
      </c>
      <c r="B15" s="27" t="s">
        <v>151</v>
      </c>
      <c r="C15" s="25" t="s">
        <v>152</v>
      </c>
      <c r="D15" s="26" t="s">
        <v>153</v>
      </c>
      <c r="E15" s="26" t="s">
        <v>154</v>
      </c>
      <c r="F15" s="26" t="s">
        <v>155</v>
      </c>
      <c r="G15" s="26" t="s">
        <v>156</v>
      </c>
      <c r="H15" s="86"/>
    </row>
    <row r="16" spans="1:8" s="1" customFormat="1" ht="120" customHeight="1">
      <c r="A16" s="29" t="s">
        <v>164</v>
      </c>
      <c r="B16" s="27" t="s">
        <v>157</v>
      </c>
      <c r="C16" s="25" t="s">
        <v>158</v>
      </c>
      <c r="D16" s="26" t="s">
        <v>159</v>
      </c>
      <c r="E16" s="26" t="s">
        <v>160</v>
      </c>
      <c r="F16" s="26" t="s">
        <v>161</v>
      </c>
      <c r="G16" s="26" t="s">
        <v>162</v>
      </c>
      <c r="H16" s="86"/>
    </row>
    <row r="17" spans="1:12" s="3" customFormat="1" ht="31.95" customHeight="1">
      <c r="A17" s="15"/>
      <c r="B17" s="13"/>
      <c r="C17" s="13"/>
      <c r="D17" s="13"/>
      <c r="E17" s="13"/>
      <c r="F17" s="13"/>
      <c r="G17" s="14"/>
      <c r="H17" s="86"/>
    </row>
    <row r="18" spans="1:12" s="1" customFormat="1" ht="31.95" customHeight="1">
      <c r="A18" s="91" t="s">
        <v>165</v>
      </c>
      <c r="B18" s="92"/>
      <c r="C18" s="92"/>
      <c r="D18" s="92"/>
      <c r="E18" s="92"/>
      <c r="F18" s="92"/>
      <c r="G18" s="93"/>
      <c r="H18" s="86"/>
    </row>
    <row r="19" spans="1:12" s="1" customFormat="1" ht="31.95" customHeight="1">
      <c r="A19" s="94" t="s">
        <v>166</v>
      </c>
      <c r="B19" s="95"/>
      <c r="C19" s="95"/>
      <c r="D19" s="95"/>
      <c r="E19" s="95"/>
      <c r="F19" s="95"/>
      <c r="G19" s="96"/>
      <c r="H19" s="86"/>
    </row>
    <row r="20" spans="1:12" s="1" customFormat="1" ht="96.6">
      <c r="A20" s="29" t="s">
        <v>167</v>
      </c>
      <c r="B20" s="27" t="s">
        <v>168</v>
      </c>
      <c r="C20" s="25" t="s">
        <v>169</v>
      </c>
      <c r="D20" s="26" t="s">
        <v>170</v>
      </c>
      <c r="E20" s="26" t="s">
        <v>171</v>
      </c>
      <c r="F20" s="26" t="s">
        <v>172</v>
      </c>
      <c r="G20" s="26" t="s">
        <v>173</v>
      </c>
      <c r="H20" s="86"/>
    </row>
    <row r="21" spans="1:12" s="1" customFormat="1" ht="124.95" customHeight="1">
      <c r="A21" s="29" t="s">
        <v>174</v>
      </c>
      <c r="B21" s="27" t="s">
        <v>175</v>
      </c>
      <c r="C21" s="25" t="s">
        <v>176</v>
      </c>
      <c r="D21" s="26" t="s">
        <v>177</v>
      </c>
      <c r="E21" s="26" t="s">
        <v>178</v>
      </c>
      <c r="F21" s="26" t="s">
        <v>179</v>
      </c>
      <c r="G21" s="26" t="s">
        <v>180</v>
      </c>
      <c r="H21" s="86"/>
    </row>
    <row r="22" spans="1:12" s="1" customFormat="1" ht="115.95" customHeight="1">
      <c r="A22" s="29" t="s">
        <v>181</v>
      </c>
      <c r="B22" s="27" t="s">
        <v>182</v>
      </c>
      <c r="C22" s="25" t="s">
        <v>183</v>
      </c>
      <c r="D22" s="26" t="s">
        <v>184</v>
      </c>
      <c r="E22" s="26" t="s">
        <v>185</v>
      </c>
      <c r="F22" s="26" t="s">
        <v>186</v>
      </c>
      <c r="G22" s="26" t="s">
        <v>187</v>
      </c>
      <c r="H22" s="86"/>
    </row>
    <row r="23" spans="1:12" s="1" customFormat="1" ht="109.95" customHeight="1">
      <c r="A23" s="29" t="s">
        <v>188</v>
      </c>
      <c r="B23" s="24" t="s">
        <v>189</v>
      </c>
      <c r="C23" s="25" t="s">
        <v>190</v>
      </c>
      <c r="D23" s="26" t="s">
        <v>191</v>
      </c>
      <c r="E23" s="26" t="s">
        <v>192</v>
      </c>
      <c r="F23" s="26" t="s">
        <v>193</v>
      </c>
      <c r="G23" s="26" t="s">
        <v>194</v>
      </c>
      <c r="H23" s="86"/>
    </row>
    <row r="25" spans="1:12" ht="19.95" customHeight="1">
      <c r="A25" s="84"/>
      <c r="B25" s="84"/>
      <c r="C25" s="84"/>
      <c r="D25" s="84"/>
      <c r="E25" s="84"/>
      <c r="F25" s="84"/>
      <c r="G25" s="84"/>
      <c r="H25" s="84"/>
      <c r="I25" s="84"/>
      <c r="J25" s="84"/>
      <c r="K25" s="84"/>
      <c r="L25" s="84"/>
    </row>
  </sheetData>
  <customSheetViews>
    <customSheetView guid="{F7C1623B-D7CD-CD4F-BF5C-C85D3815E60B}" scale="130" showGridLines="0" fitToPage="1">
      <pane xSplit="1" ySplit="2" topLeftCell="B17" activePane="bottomRight" state="frozen"/>
      <selection pane="bottomRight" activeCell="F17" sqref="F17"/>
      <pageMargins left="0.5" right="0.5" top="0.75" bottom="0.75" header="0.27777800000000002" footer="0.27777800000000002"/>
      <pageSetup orientation="portrait"/>
      <headerFooter>
        <oddFooter>&amp;C&amp;"Helvetica Neue,Regular"&amp;12&amp;K000000&amp;P</oddFooter>
      </headerFooter>
    </customSheetView>
    <customSheetView guid="{CB9281FB-53AC-4498-B6BF-6132B55113AF}" scale="80" showGridLines="0" fitToPage="1">
      <pane xSplit="1" ySplit="2" topLeftCell="B24" activePane="bottomRight" state="frozen"/>
      <selection pane="bottomRight" activeCell="B22" sqref="B22"/>
      <pageMargins left="0.5" right="0.5" top="0.75" bottom="0.75" header="0.27777800000000002" footer="0.27777800000000002"/>
      <pageSetup orientation="portrait"/>
      <headerFooter>
        <oddFooter>&amp;C&amp;"Helvetica Neue,Regular"&amp;12&amp;K000000&amp;P</oddFooter>
      </headerFooter>
    </customSheetView>
    <customSheetView guid="{2C165A54-03F4-4551-85C8-E4ED1E664B78}" scale="80" showGridLines="0" fitToPage="1">
      <pane xSplit="1" ySplit="2" topLeftCell="B24" activePane="bottomRight" state="frozen"/>
      <selection pane="bottomRight" activeCell="B22" sqref="B22"/>
      <pageMargins left="0.5" right="0.5" top="0.75" bottom="0.75" header="0.27777800000000002" footer="0.27777800000000002"/>
      <pageSetup orientation="portrait"/>
      <headerFooter>
        <oddFooter>&amp;C&amp;"Helvetica Neue,Regular"&amp;12&amp;K000000&amp;P</oddFooter>
      </headerFooter>
    </customSheetView>
  </customSheetViews>
  <mergeCells count="8">
    <mergeCell ref="A25:L25"/>
    <mergeCell ref="H5:H23"/>
    <mergeCell ref="A4:G4"/>
    <mergeCell ref="A5:G5"/>
    <mergeCell ref="A11:G11"/>
    <mergeCell ref="A12:G12"/>
    <mergeCell ref="A18:G18"/>
    <mergeCell ref="A19:G19"/>
  </mergeCells>
  <pageMargins left="0.5" right="0.5" top="0.75" bottom="0.75" header="0.27777800000000002" footer="0.27777800000000002"/>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3AA0-7DC4-421E-9494-06372216FE6A}">
  <dimension ref="B2:E14"/>
  <sheetViews>
    <sheetView showGridLines="0" zoomScale="85" zoomScaleNormal="85" workbookViewId="0">
      <selection activeCell="C9" sqref="C9"/>
    </sheetView>
  </sheetViews>
  <sheetFormatPr baseColWidth="10" defaultRowHeight="13.2"/>
  <cols>
    <col min="2" max="2" width="26.77734375" customWidth="1"/>
    <col min="3" max="3" width="117.44140625" customWidth="1"/>
  </cols>
  <sheetData>
    <row r="2" spans="2:5" hidden="1"/>
    <row r="3" spans="2:5" ht="42.6" customHeight="1">
      <c r="B3" s="97" t="s">
        <v>101</v>
      </c>
      <c r="C3" s="98"/>
    </row>
    <row r="4" spans="2:5" ht="60.6" customHeight="1">
      <c r="B4" s="34" t="s">
        <v>102</v>
      </c>
      <c r="C4" s="31" t="s">
        <v>391</v>
      </c>
    </row>
    <row r="5" spans="2:5" ht="55.8" customHeight="1">
      <c r="B5" s="35" t="s">
        <v>103</v>
      </c>
      <c r="C5" s="32" t="s">
        <v>392</v>
      </c>
    </row>
    <row r="6" spans="2:5" ht="64.2" customHeight="1">
      <c r="B6" s="36" t="s">
        <v>104</v>
      </c>
      <c r="C6" s="31" t="s">
        <v>393</v>
      </c>
    </row>
    <row r="7" spans="2:5" ht="58.8" customHeight="1">
      <c r="B7" s="37" t="s">
        <v>107</v>
      </c>
      <c r="C7" s="31" t="s">
        <v>394</v>
      </c>
    </row>
    <row r="8" spans="2:5" ht="60" customHeight="1">
      <c r="B8" s="38" t="s">
        <v>108</v>
      </c>
      <c r="C8" s="31" t="s">
        <v>395</v>
      </c>
    </row>
    <row r="9" spans="2:5" ht="61.2" customHeight="1">
      <c r="B9" s="39" t="s">
        <v>384</v>
      </c>
      <c r="C9" s="31" t="s">
        <v>385</v>
      </c>
    </row>
    <row r="14" spans="2:5">
      <c r="E14" s="30"/>
    </row>
  </sheetData>
  <mergeCells count="1">
    <mergeCell ref="B3:C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62E9-86A8-4368-A08E-5EC3FFA946F7}">
  <dimension ref="A1:C6"/>
  <sheetViews>
    <sheetView topLeftCell="A2" workbookViewId="0">
      <selection activeCell="C6" sqref="C6"/>
    </sheetView>
  </sheetViews>
  <sheetFormatPr baseColWidth="10" defaultRowHeight="13.2"/>
  <cols>
    <col min="1" max="1" width="21" customWidth="1"/>
    <col min="2" max="2" width="26.33203125" customWidth="1"/>
    <col min="3" max="3" width="78.21875" customWidth="1"/>
  </cols>
  <sheetData>
    <row r="1" spans="1:3" ht="92.4" customHeight="1">
      <c r="A1" s="48">
        <v>1</v>
      </c>
      <c r="B1" s="48" t="s">
        <v>102</v>
      </c>
      <c r="C1" s="33" t="s">
        <v>391</v>
      </c>
    </row>
    <row r="2" spans="1:3" ht="39.6">
      <c r="A2" s="33">
        <v>2</v>
      </c>
      <c r="B2" s="33" t="s">
        <v>103</v>
      </c>
      <c r="C2" s="33" t="s">
        <v>392</v>
      </c>
    </row>
    <row r="3" spans="1:3" ht="99.6" customHeight="1">
      <c r="A3" s="33">
        <v>3</v>
      </c>
      <c r="B3" s="33" t="s">
        <v>104</v>
      </c>
      <c r="C3" s="33" t="s">
        <v>393</v>
      </c>
    </row>
    <row r="4" spans="1:3" ht="75.599999999999994" customHeight="1">
      <c r="A4" s="33">
        <v>4</v>
      </c>
      <c r="B4" s="33" t="s">
        <v>107</v>
      </c>
      <c r="C4" s="33" t="s">
        <v>394</v>
      </c>
    </row>
    <row r="5" spans="1:3" ht="26.4">
      <c r="A5" s="33">
        <v>5</v>
      </c>
      <c r="B5" s="33" t="s">
        <v>108</v>
      </c>
      <c r="C5" s="33" t="s">
        <v>395</v>
      </c>
    </row>
    <row r="6" spans="1:3" ht="43.2" customHeight="1">
      <c r="A6" s="33" t="s">
        <v>387</v>
      </c>
      <c r="B6" s="33" t="s">
        <v>384</v>
      </c>
      <c r="C6" s="33" t="s">
        <v>385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F88C-33B8-474F-9E91-8616FCE9177D}">
  <dimension ref="A1:G12"/>
  <sheetViews>
    <sheetView zoomScale="90" zoomScaleNormal="90" zoomScaleSheetLayoutView="100" workbookViewId="0">
      <pane ySplit="1" topLeftCell="A2" activePane="bottomLeft" state="frozen"/>
      <selection pane="bottomLeft" activeCell="D2" sqref="D2"/>
    </sheetView>
  </sheetViews>
  <sheetFormatPr baseColWidth="10" defaultColWidth="8.77734375" defaultRowHeight="13.2"/>
  <cols>
    <col min="1" max="1" width="15.77734375" customWidth="1"/>
    <col min="2" max="2" width="36" customWidth="1"/>
    <col min="3" max="3" width="60.33203125" customWidth="1"/>
    <col min="4" max="5" width="16.44140625" customWidth="1"/>
    <col min="6" max="6" width="65.77734375" customWidth="1"/>
    <col min="7" max="7" width="59.109375" customWidth="1"/>
  </cols>
  <sheetData>
    <row r="1" spans="1:7" ht="40.799999999999997" customHeight="1">
      <c r="A1" s="44" t="s">
        <v>4</v>
      </c>
      <c r="B1" s="59" t="s">
        <v>415</v>
      </c>
      <c r="C1" s="44" t="s">
        <v>416</v>
      </c>
      <c r="D1" s="45" t="s">
        <v>101</v>
      </c>
      <c r="E1" s="45" t="s">
        <v>388</v>
      </c>
      <c r="F1" s="44" t="s">
        <v>201</v>
      </c>
      <c r="G1" s="44" t="s">
        <v>202</v>
      </c>
    </row>
    <row r="2" spans="1:7" ht="59.4" customHeight="1">
      <c r="A2" s="46" t="s">
        <v>6</v>
      </c>
      <c r="B2" s="46" t="s">
        <v>203</v>
      </c>
      <c r="C2" s="47" t="s">
        <v>204</v>
      </c>
      <c r="D2" s="48">
        <v>4</v>
      </c>
      <c r="E2" s="48" t="str">
        <f>IFERROR(VLOOKUP(D2,Feuil1!A:B,2,FALSE),"")</f>
        <v>Maîtrisé</v>
      </c>
      <c r="F2" s="61" t="str">
        <f>IFERROR(VLOOKUP(D2,Feuil1!A:C,3,FALSE),"")</f>
        <v>La sécurité est centralisée et largement automatisée.
Elle est intégrée dans l’Infrastructure as Code et les pipelines de déploiement.</v>
      </c>
      <c r="G2" s="33"/>
    </row>
    <row r="3" spans="1:7" ht="125.4" customHeight="1">
      <c r="A3" s="46" t="s">
        <v>7</v>
      </c>
      <c r="B3" s="46" t="s">
        <v>205</v>
      </c>
      <c r="C3" s="49" t="s">
        <v>206</v>
      </c>
      <c r="D3" s="48">
        <v>1</v>
      </c>
      <c r="E3" s="48" t="str">
        <f>IFERROR(VLOOKUP(D3,Feuil1!A:B,2,FALSE),"")</f>
        <v>Initiale</v>
      </c>
      <c r="F3" s="61" t="str">
        <f>IFERROR(VLOOKUP(D3,Feuil1!A:C,3,FALSE),"")</f>
        <v>La sécurité est gérée manuellement et de manière non structurée.
Peu d’utilisation des fonctionnalités avancées du cloud et IAM peu organisé.</v>
      </c>
      <c r="G3" s="33"/>
    </row>
    <row r="4" spans="1:7" ht="86.4" customHeight="1">
      <c r="A4" s="46" t="s">
        <v>8</v>
      </c>
      <c r="B4" s="46" t="s">
        <v>207</v>
      </c>
      <c r="C4" s="50" t="s">
        <v>208</v>
      </c>
      <c r="D4" s="48">
        <v>5</v>
      </c>
      <c r="E4" s="48" t="str">
        <f>IFERROR(VLOOKUP(D4,Feuil1!A:B,2,FALSE),"")</f>
        <v xml:space="preserve">Optimisé </v>
      </c>
      <c r="F4" s="61" t="str">
        <f>IFERROR(VLOOKUP(D4,Feuil1!A:C,3,FALSE),"")</f>
        <v>La sécurité est entièrement intégrée, automatisée et pilotée par des plateformes centralisées.
Les contrôles sont cohérents et appliqués à grande échelle.</v>
      </c>
      <c r="G4" s="33"/>
    </row>
    <row r="5" spans="1:7" ht="57.6" customHeight="1">
      <c r="A5" s="46" t="s">
        <v>9</v>
      </c>
      <c r="B5" s="46" t="s">
        <v>209</v>
      </c>
      <c r="C5" s="47" t="s">
        <v>211</v>
      </c>
      <c r="D5" s="48">
        <v>5</v>
      </c>
      <c r="E5" s="48" t="str">
        <f>IFERROR(VLOOKUP(D5,Feuil1!A:B,2,FALSE),"")</f>
        <v xml:space="preserve">Optimisé </v>
      </c>
      <c r="F5" s="61" t="str">
        <f>IFERROR(VLOOKUP(D5,Feuil1!A:C,3,FALSE),"")</f>
        <v>La sécurité est entièrement intégrée, automatisée et pilotée par des plateformes centralisées.
Les contrôles sont cohérents et appliqués à grande échelle.</v>
      </c>
      <c r="G5" s="33"/>
    </row>
    <row r="6" spans="1:7" ht="44.4" customHeight="1">
      <c r="A6" s="46" t="s">
        <v>10</v>
      </c>
      <c r="B6" s="46" t="s">
        <v>210</v>
      </c>
      <c r="C6" s="50" t="s">
        <v>212</v>
      </c>
      <c r="D6" s="48">
        <v>3</v>
      </c>
      <c r="E6" s="48" t="str">
        <f>IFERROR(VLOOKUP(D6,Feuil1!A:B,2,FALSE),"")</f>
        <v>Défini</v>
      </c>
      <c r="F6" s="61" t="str">
        <f>IFERROR(VLOOKUP(D6,Feuil1!A:C,3,FALSE),"")</f>
        <v>Les politiques de sécurité sont centralisées et standardisées.
Certaines automatisations apparaissent et des outils de sécurité cloud commencent à être utilisés.</v>
      </c>
      <c r="G6" s="33"/>
    </row>
    <row r="7" spans="1:7" ht="51.6" customHeight="1">
      <c r="A7" s="46" t="s">
        <v>11</v>
      </c>
      <c r="B7" s="46" t="s">
        <v>213</v>
      </c>
      <c r="C7" s="50" t="s">
        <v>214</v>
      </c>
      <c r="D7" s="48">
        <v>2</v>
      </c>
      <c r="E7" s="48" t="str">
        <f>IFERROR(VLOOKUP(D7,Feuil1!A:B,2,FALSE),"")</f>
        <v>Répétable</v>
      </c>
      <c r="F7" s="61" t="str">
        <f>IFERROR(VLOOKUP(D7,Feuil1!A:C,3,FALSE),"")</f>
        <v>Des politiques de sécurité existent, mais elles sont appliquées manuellement et de façon incohérente selon les équipes.
L’automatisation et le MFA sont encore limités.</v>
      </c>
      <c r="G7" s="33"/>
    </row>
    <row r="8" spans="1:7" ht="42" customHeight="1">
      <c r="A8" s="46" t="s">
        <v>12</v>
      </c>
      <c r="B8" s="46" t="s">
        <v>215</v>
      </c>
      <c r="C8" s="47" t="s">
        <v>216</v>
      </c>
      <c r="D8" s="48">
        <v>4</v>
      </c>
      <c r="E8" s="48" t="str">
        <f>IFERROR(VLOOKUP(D8,Feuil1!A:B,2,FALSE),"")</f>
        <v>Maîtrisé</v>
      </c>
      <c r="F8" s="61" t="str">
        <f>IFERROR(VLOOKUP(D8,Feuil1!A:C,3,FALSE),"")</f>
        <v>La sécurité est centralisée et largement automatisée.
Elle est intégrée dans l’Infrastructure as Code et les pipelines de déploiement.</v>
      </c>
      <c r="G8" s="33"/>
    </row>
    <row r="9" spans="1:7" ht="44.4" customHeight="1">
      <c r="A9" s="46" t="s">
        <v>13</v>
      </c>
      <c r="B9" s="46" t="s">
        <v>217</v>
      </c>
      <c r="C9" s="47" t="s">
        <v>218</v>
      </c>
      <c r="D9" s="48">
        <v>4</v>
      </c>
      <c r="E9" s="48" t="str">
        <f>IFERROR(VLOOKUP(D9,Feuil1!A:B,2,FALSE),"")</f>
        <v>Maîtrisé</v>
      </c>
      <c r="F9" s="61" t="str">
        <f>IFERROR(VLOOKUP(D9,Feuil1!A:C,3,FALSE),"")</f>
        <v>La sécurité est centralisée et largement automatisée.
Elle est intégrée dans l’Infrastructure as Code et les pipelines de déploiement.</v>
      </c>
      <c r="G9" s="33"/>
    </row>
    <row r="10" spans="1:7" ht="58.2" customHeight="1">
      <c r="A10" s="46" t="s">
        <v>14</v>
      </c>
      <c r="B10" s="46" t="s">
        <v>219</v>
      </c>
      <c r="C10" s="47" t="s">
        <v>220</v>
      </c>
      <c r="D10" s="48">
        <v>4</v>
      </c>
      <c r="E10" s="48" t="str">
        <f>IFERROR(VLOOKUP(D10,Feuil1!A:B,2,FALSE),"")</f>
        <v>Maîtrisé</v>
      </c>
      <c r="F10" s="61" t="str">
        <f>IFERROR(VLOOKUP(D10,Feuil1!A:C,3,FALSE),"")</f>
        <v>La sécurité est centralisée et largement automatisée.
Elle est intégrée dans l’Infrastructure as Code et les pipelines de déploiement.</v>
      </c>
      <c r="G10" s="33"/>
    </row>
    <row r="12" spans="1:7" ht="13.8">
      <c r="A12" s="99"/>
      <c r="B12" s="99"/>
      <c r="C12" s="99"/>
      <c r="D12" s="99"/>
      <c r="E12" s="99"/>
      <c r="F12" s="99"/>
      <c r="G12" s="99"/>
    </row>
  </sheetData>
  <customSheetViews>
    <customSheetView guid="{F7C1623B-D7CD-CD4F-BF5C-C85D3815E60B}" scale="185" topLeftCell="A6">
      <selection activeCell="G9" sqref="G9"/>
      <pageMargins left="0.7" right="0.7" top="0.75" bottom="0.75" header="0.3" footer="0.3"/>
      <pageSetup orientation="portrait" horizontalDpi="0" verticalDpi="0"/>
    </customSheetView>
    <customSheetView guid="{CB9281FB-53AC-4498-B6BF-6132B55113AF}" scale="90" topLeftCell="A9">
      <selection activeCell="D10" sqref="D10"/>
      <pageMargins left="0.7" right="0.7" top="0.75" bottom="0.75" header="0.3" footer="0.3"/>
      <pageSetup orientation="portrait" horizontalDpi="0" verticalDpi="0"/>
    </customSheetView>
    <customSheetView guid="{2C165A54-03F4-4551-85C8-E4ED1E664B78}" scale="90" topLeftCell="A9">
      <selection activeCell="D10" sqref="D10"/>
      <pageMargins left="0.7" right="0.7" top="0.75" bottom="0.75" header="0.3" footer="0.3"/>
      <pageSetup orientation="portrait" horizontalDpi="0" verticalDpi="0"/>
    </customSheetView>
  </customSheetViews>
  <mergeCells count="1">
    <mergeCell ref="A12:G12"/>
  </mergeCells>
  <conditionalFormatting sqref="D2:D3 D4:E10">
    <cfRule type="containsText" dxfId="214" priority="19" operator="containsText" text="2">
      <formula>NOT(ISERROR(SEARCH("2",D2)))</formula>
    </cfRule>
  </conditionalFormatting>
  <conditionalFormatting sqref="D2:D4 D5:E10">
    <cfRule type="containsText" dxfId="213" priority="16" operator="containsText" text="4">
      <formula>NOT(ISERROR(SEARCH("4",D2)))</formula>
    </cfRule>
    <cfRule type="containsText" dxfId="212" priority="18" operator="containsText" text="3">
      <formula>NOT(ISERROR(SEARCH("3",D2)))</formula>
    </cfRule>
  </conditionalFormatting>
  <conditionalFormatting sqref="D2:E10">
    <cfRule type="containsText" dxfId="211" priority="15" operator="containsText" text="5">
      <formula>NOT(ISERROR(SEARCH("5",D2)))</formula>
    </cfRule>
    <cfRule type="containsText" dxfId="210" priority="20" operator="containsText" text="1">
      <formula>NOT(ISERROR(SEARCH("1",D2)))</formula>
    </cfRule>
  </conditionalFormatting>
  <conditionalFormatting sqref="D4:E10 D2:D3">
    <cfRule type="containsText" dxfId="209" priority="14" operator="containsText" text="NA">
      <formula>NOT(ISERROR(SEARCH("NA",D2)))</formula>
    </cfRule>
  </conditionalFormatting>
  <conditionalFormatting sqref="E2:E10">
    <cfRule type="containsText" dxfId="208" priority="8" operator="containsText" text="Non applicable">
      <formula>NOT(ISERROR(SEARCH("Non applicable",E2)))</formula>
    </cfRule>
    <cfRule type="containsText" dxfId="207" priority="9" operator="containsText" text="Défini">
      <formula>NOT(ISERROR(SEARCH("Défini",E2)))</formula>
    </cfRule>
    <cfRule type="containsText" dxfId="206" priority="10" operator="containsText" text="Maîtrisé">
      <formula>NOT(ISERROR(SEARCH("Maîtrisé",E2)))</formula>
    </cfRule>
    <cfRule type="containsText" dxfId="205" priority="11" operator="containsText" text="Optimisé">
      <formula>NOT(ISERROR(SEARCH("Optimisé",E2)))</formula>
    </cfRule>
    <cfRule type="containsText" dxfId="204" priority="12" operator="containsText" text="Répétable">
      <formula>NOT(ISERROR(SEARCH("Répétable",E2)))</formula>
    </cfRule>
    <cfRule type="containsText" dxfId="203" priority="13" operator="containsText" text="Initiale">
      <formula>NOT(ISERROR(SEARCH("Initiale",E2)))</formula>
    </cfRule>
  </conditionalFormatting>
  <conditionalFormatting sqref="F2:F10">
    <cfRule type="containsText" dxfId="202" priority="2" operator="containsText" text="échelle.">
      <formula>NOT(ISERROR(SEARCH("échelle.",F2)))</formula>
    </cfRule>
    <cfRule type="endsWith" dxfId="201" priority="3" operator="endsWith" text="peu organisé.">
      <formula>RIGHT(F2,LEN("peu organisé."))="peu organisé."</formula>
    </cfRule>
    <cfRule type="beginsWith" dxfId="200" priority="4" operator="beginsWith" text="La sécurité">
      <formula>LEFT(F2,LEN("La sécurité"))="La sécurité"</formula>
    </cfRule>
    <cfRule type="beginsWith" dxfId="199" priority="5" operator="beginsWith" text="Le contrôle">
      <formula>LEFT(F2,LEN("Le contrôle"))="Le contrôle"</formula>
    </cfRule>
    <cfRule type="beginsWith" dxfId="198" priority="6" operator="beginsWith" text="Des politiques">
      <formula>LEFT(F2,LEN("Des politiques"))="Des politiques"</formula>
    </cfRule>
    <cfRule type="beginsWith" dxfId="197" priority="7" operator="beginsWith" text="Les politiques">
      <formula>LEFT(F2,LEN("Les politiques"))="Les politiques"</formula>
    </cfRule>
  </conditionalFormatting>
  <dataValidations count="1">
    <dataValidation type="list" allowBlank="1" showInputMessage="1" showErrorMessage="1" sqref="D2:D10" xr:uid="{CD0CB1D1-C6D0-41E4-B832-3B4BE14B5D06}">
      <formula1>"1,2,3,4,5,NA"</formula1>
    </dataValidation>
  </dataValidation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06590-64E7-0143-95D9-05D8B09401FC}">
  <dimension ref="A1:G10"/>
  <sheetViews>
    <sheetView zoomScale="90" zoomScaleNormal="90" zoomScaleSheetLayoutView="100" workbookViewId="0">
      <pane ySplit="1" topLeftCell="A2" activePane="bottomLeft" state="frozen"/>
      <selection pane="bottomLeft" activeCell="C1" sqref="C1"/>
    </sheetView>
  </sheetViews>
  <sheetFormatPr baseColWidth="10" defaultColWidth="8.77734375" defaultRowHeight="13.2"/>
  <cols>
    <col min="1" max="1" width="15.77734375" customWidth="1"/>
    <col min="2" max="2" width="42.5546875" customWidth="1"/>
    <col min="3" max="3" width="54.44140625" customWidth="1"/>
    <col min="4" max="4" width="15.6640625" customWidth="1"/>
    <col min="5" max="5" width="16.21875" customWidth="1"/>
    <col min="6" max="6" width="73.21875" customWidth="1"/>
    <col min="7" max="7" width="65.44140625" customWidth="1"/>
  </cols>
  <sheetData>
    <row r="1" spans="1:7" ht="40.799999999999997" customHeight="1">
      <c r="A1" s="44" t="s">
        <v>4</v>
      </c>
      <c r="B1" s="44" t="s">
        <v>415</v>
      </c>
      <c r="C1" s="44" t="s">
        <v>416</v>
      </c>
      <c r="D1" s="44" t="s">
        <v>101</v>
      </c>
      <c r="E1" s="59" t="s">
        <v>389</v>
      </c>
      <c r="F1" s="44" t="s">
        <v>201</v>
      </c>
      <c r="G1" s="44" t="s">
        <v>202</v>
      </c>
    </row>
    <row r="2" spans="1:7" ht="46.8" customHeight="1">
      <c r="A2" s="46" t="s">
        <v>19</v>
      </c>
      <c r="B2" s="46" t="s">
        <v>221</v>
      </c>
      <c r="C2" s="50" t="s">
        <v>222</v>
      </c>
      <c r="D2" s="48">
        <v>4</v>
      </c>
      <c r="E2" s="48" t="str">
        <f>IFERROR(VLOOKUP(D2,Feuil1!A:B,2,FALSE),"")</f>
        <v>Maîtrisé</v>
      </c>
      <c r="F2" s="61" t="str">
        <f>IFERROR(VLOOKUP(D2,Feuil1!A:C,3,FALSE),"")</f>
        <v>La sécurité est centralisée et largement automatisée.
Elle est intégrée dans l’Infrastructure as Code et les pipelines de déploiement.</v>
      </c>
      <c r="G2" s="33"/>
    </row>
    <row r="3" spans="1:7" ht="64.8" customHeight="1">
      <c r="A3" s="46" t="s">
        <v>20</v>
      </c>
      <c r="B3" s="46" t="s">
        <v>223</v>
      </c>
      <c r="C3" s="50" t="s">
        <v>224</v>
      </c>
      <c r="D3" s="48">
        <v>4</v>
      </c>
      <c r="E3" s="48" t="str">
        <f>IFERROR(VLOOKUP(D3,Feuil1!A:B,2,FALSE),"")</f>
        <v>Maîtrisé</v>
      </c>
      <c r="F3" s="61" t="str">
        <f>IFERROR(VLOOKUP(D3,Feuil1!A:C,3,FALSE),"")</f>
        <v>La sécurité est centralisée et largement automatisée.
Elle est intégrée dans l’Infrastructure as Code et les pipelines de déploiement.</v>
      </c>
      <c r="G3" s="33"/>
    </row>
    <row r="4" spans="1:7" ht="54.6" customHeight="1">
      <c r="A4" s="46" t="s">
        <v>16</v>
      </c>
      <c r="B4" s="46" t="s">
        <v>225</v>
      </c>
      <c r="C4" s="50" t="s">
        <v>226</v>
      </c>
      <c r="D4" s="48">
        <v>3</v>
      </c>
      <c r="E4" s="48" t="str">
        <f>IFERROR(VLOOKUP(D4,Feuil1!A:B,2,FALSE),"")</f>
        <v>Défini</v>
      </c>
      <c r="F4" s="61" t="str">
        <f>IFERROR(VLOOKUP(D4,Feuil1!A:C,3,FALSE),"")</f>
        <v>Les politiques de sécurité sont centralisées et standardisées.
Certaines automatisations apparaissent et des outils de sécurité cloud commencent à être utilisés.</v>
      </c>
      <c r="G4" s="33"/>
    </row>
    <row r="5" spans="1:7" ht="52.8" customHeight="1">
      <c r="A5" s="46" t="s">
        <v>95</v>
      </c>
      <c r="B5" s="46" t="s">
        <v>227</v>
      </c>
      <c r="C5" s="50" t="s">
        <v>228</v>
      </c>
      <c r="D5" s="48">
        <v>5</v>
      </c>
      <c r="E5" s="48" t="str">
        <f>IFERROR(VLOOKUP(D5,Feuil1!A:B,2,FALSE),"")</f>
        <v xml:space="preserve">Optimisé </v>
      </c>
      <c r="F5" s="61" t="str">
        <f>IFERROR(VLOOKUP(D5,Feuil1!A:C,3,FALSE),"")</f>
        <v>La sécurité est entièrement intégrée, automatisée et pilotée par des plateformes centralisées.
Les contrôles sont cohérents et appliqués à grande échelle.</v>
      </c>
      <c r="G5" s="33"/>
    </row>
    <row r="6" spans="1:7" ht="64.8" customHeight="1">
      <c r="A6" s="46" t="s">
        <v>17</v>
      </c>
      <c r="B6" s="46" t="s">
        <v>229</v>
      </c>
      <c r="C6" s="50" t="s">
        <v>230</v>
      </c>
      <c r="D6" s="48">
        <v>2</v>
      </c>
      <c r="E6" s="48" t="str">
        <f>IFERROR(VLOOKUP(D6,Feuil1!A:B,2,FALSE),"")</f>
        <v>Répétable</v>
      </c>
      <c r="F6" s="61" t="str">
        <f>IFERROR(VLOOKUP(D6,Feuil1!A:C,3,FALSE),"")</f>
        <v>Des politiques de sécurité existent, mais elles sont appliquées manuellement et de façon incohérente selon les équipes.
L’automatisation et le MFA sont encore limités.</v>
      </c>
      <c r="G6" s="33"/>
    </row>
    <row r="7" spans="1:7" ht="80.400000000000006" customHeight="1">
      <c r="A7" s="46" t="s">
        <v>18</v>
      </c>
      <c r="B7" s="51" t="s">
        <v>231</v>
      </c>
      <c r="C7" s="52" t="s">
        <v>232</v>
      </c>
      <c r="D7" s="48">
        <v>1</v>
      </c>
      <c r="E7" s="48" t="str">
        <f>IFERROR(VLOOKUP(D7,Feuil1!A:B,2,FALSE),"")</f>
        <v>Initiale</v>
      </c>
      <c r="F7" s="61" t="str">
        <f>IFERROR(VLOOKUP(D7,Feuil1!A:C,3,FALSE),"")</f>
        <v>La sécurité est gérée manuellement et de manière non structurée.
Peu d’utilisation des fonctionnalités avancées du cloud et IAM peu organisé.</v>
      </c>
      <c r="G7" s="33"/>
    </row>
    <row r="8" spans="1:7" ht="64.2" customHeight="1">
      <c r="A8" s="46" t="s">
        <v>15</v>
      </c>
      <c r="B8" s="46" t="s">
        <v>233</v>
      </c>
      <c r="C8" s="50" t="s">
        <v>234</v>
      </c>
      <c r="D8" s="48">
        <v>4</v>
      </c>
      <c r="E8" s="48" t="str">
        <f>IFERROR(VLOOKUP(D8,Feuil1!A:B,2,FALSE),"")</f>
        <v>Maîtrisé</v>
      </c>
      <c r="F8" s="61" t="str">
        <f>IFERROR(VLOOKUP(D8,Feuil1!A:C,3,FALSE),"")</f>
        <v>La sécurité est centralisée et largement automatisée.
Elle est intégrée dans l’Infrastructure as Code et les pipelines de déploiement.</v>
      </c>
      <c r="G8" s="33"/>
    </row>
    <row r="9" spans="1:7">
      <c r="B9" s="4"/>
      <c r="C9" s="4"/>
    </row>
    <row r="10" spans="1:7">
      <c r="B10" s="4"/>
      <c r="C10" s="4"/>
    </row>
  </sheetData>
  <customSheetViews>
    <customSheetView guid="{F7C1623B-D7CD-CD4F-BF5C-C85D3815E60B}" scale="185" topLeftCell="A3">
      <selection activeCell="G6" sqref="A1:I7"/>
      <pageMargins left="0.7" right="0.7" top="0.75" bottom="0.75" header="0.3" footer="0.3"/>
      <pageSetup orientation="portrait" horizontalDpi="0" verticalDpi="0"/>
    </customSheetView>
    <customSheetView guid="{CB9281FB-53AC-4498-B6BF-6132B55113AF}" scale="80" topLeftCell="A2">
      <selection activeCell="G8" sqref="G8"/>
      <pageMargins left="0.7" right="0.7" top="0.75" bottom="0.75" header="0.3" footer="0.3"/>
      <pageSetup orientation="portrait" horizontalDpi="0" verticalDpi="0"/>
    </customSheetView>
    <customSheetView guid="{2C165A54-03F4-4551-85C8-E4ED1E664B78}" scale="80" topLeftCell="A2">
      <selection activeCell="G8" sqref="G8"/>
      <pageMargins left="0.7" right="0.7" top="0.75" bottom="0.75" header="0.3" footer="0.3"/>
      <pageSetup orientation="portrait" horizontalDpi="0" verticalDpi="0"/>
    </customSheetView>
  </customSheetViews>
  <conditionalFormatting sqref="D2:D8">
    <cfRule type="containsText" dxfId="196" priority="14" operator="containsText" text="2">
      <formula>NOT(ISERROR(SEARCH("2",D2)))</formula>
    </cfRule>
    <cfRule type="containsText" dxfId="195" priority="15" operator="containsText" text="NA">
      <formula>NOT(ISERROR(SEARCH("NA",D2)))</formula>
    </cfRule>
    <cfRule type="containsText" dxfId="194" priority="16" operator="containsText" text="5">
      <formula>NOT(ISERROR(SEARCH("5",D2)))</formula>
    </cfRule>
    <cfRule type="containsText" dxfId="193" priority="17" operator="containsText" text="3">
      <formula>NOT(ISERROR(SEARCH("3",D2)))</formula>
    </cfRule>
    <cfRule type="containsText" dxfId="192" priority="18" operator="containsText" text="1">
      <formula>NOT(ISERROR(SEARCH("1",D2)))</formula>
    </cfRule>
    <cfRule type="containsText" dxfId="191" priority="19" operator="containsText" text="4">
      <formula>NOT(ISERROR(SEARCH("4",D2)))</formula>
    </cfRule>
  </conditionalFormatting>
  <conditionalFormatting sqref="E2:E8">
    <cfRule type="containsText" dxfId="190" priority="7" operator="containsText" text="Maîtrisé">
      <formula>NOT(ISERROR(SEARCH("Maîtrisé",E2)))</formula>
    </cfRule>
    <cfRule type="containsText" dxfId="189" priority="8" operator="containsText" text="Défini">
      <formula>NOT(ISERROR(SEARCH("Défini",E2)))</formula>
    </cfRule>
    <cfRule type="containsText" dxfId="188" priority="9" operator="containsText" text="Non applicable">
      <formula>NOT(ISERROR(SEARCH("Non applicable",E2)))</formula>
    </cfRule>
    <cfRule type="containsText" dxfId="187" priority="11" operator="containsText" text="Répétable">
      <formula>NOT(ISERROR(SEARCH("Répétable",E2)))</formula>
    </cfRule>
    <cfRule type="containsText" dxfId="186" priority="12" operator="containsText" text="Optimisé">
      <formula>NOT(ISERROR(SEARCH("Optimisé",E2)))</formula>
    </cfRule>
    <cfRule type="containsText" dxfId="185" priority="13" operator="containsText" text="Initiale">
      <formula>NOT(ISERROR(SEARCH("Initiale",E2)))</formula>
    </cfRule>
  </conditionalFormatting>
  <conditionalFormatting sqref="F2:F8">
    <cfRule type="beginsWith" dxfId="184" priority="1" operator="beginsWith" text="Les politiques">
      <formula>LEFT(F2,LEN("Les politiques"))="Les politiques"</formula>
    </cfRule>
    <cfRule type="beginsWith" dxfId="183" priority="2" operator="beginsWith" text="Des politiques">
      <formula>LEFT(F2,LEN("Des politiques"))="Des politiques"</formula>
    </cfRule>
    <cfRule type="endsWith" dxfId="182" priority="3" operator="endsWith" text="cet environnement.">
      <formula>RIGHT(F2,LEN("cet environnement."))="cet environnement."</formula>
    </cfRule>
    <cfRule type="endsWith" dxfId="181" priority="4" operator="endsWith" text="échelle.">
      <formula>RIGHT(F2,LEN("échelle."))="échelle."</formula>
    </cfRule>
    <cfRule type="endsWith" dxfId="180" priority="5" operator="endsWith" text="peu organisé.">
      <formula>RIGHT(F2,LEN("peu organisé."))="peu organisé."</formula>
    </cfRule>
    <cfRule type="beginsWith" dxfId="179" priority="6" operator="beginsWith" text="La sécurité">
      <formula>LEFT(F2,LEN("La sécurité"))="La sécurité"</formula>
    </cfRule>
  </conditionalFormatting>
  <dataValidations count="1">
    <dataValidation type="list" allowBlank="1" showInputMessage="1" showErrorMessage="1" sqref="D2:D8" xr:uid="{C068742F-6445-43F5-B533-1AE4F0C2A98E}">
      <formula1>"1,2,3,4,5,NA"</formula1>
    </dataValidation>
  </dataValidation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490E-3BC8-6C42-BD26-A03118BD2655}">
  <dimension ref="A1:G10"/>
  <sheetViews>
    <sheetView zoomScale="90" zoomScaleNormal="90" zoomScaleSheetLayoutView="100" workbookViewId="0">
      <pane ySplit="1" topLeftCell="A6" activePane="bottomLeft" state="frozen"/>
      <selection pane="bottomLeft" activeCell="F2" sqref="F2:F8"/>
    </sheetView>
  </sheetViews>
  <sheetFormatPr baseColWidth="10" defaultColWidth="8.77734375" defaultRowHeight="13.2"/>
  <cols>
    <col min="1" max="1" width="15.77734375" customWidth="1"/>
    <col min="2" max="2" width="32.44140625" customWidth="1"/>
    <col min="3" max="3" width="54.21875" customWidth="1"/>
    <col min="4" max="4" width="14.77734375" customWidth="1"/>
    <col min="5" max="5" width="18.77734375" customWidth="1"/>
    <col min="6" max="6" width="70.44140625" customWidth="1"/>
    <col min="7" max="7" width="47.5546875" customWidth="1"/>
  </cols>
  <sheetData>
    <row r="1" spans="1:7" ht="39" customHeight="1">
      <c r="A1" s="44" t="s">
        <v>4</v>
      </c>
      <c r="B1" s="44" t="s">
        <v>415</v>
      </c>
      <c r="C1" s="44" t="s">
        <v>416</v>
      </c>
      <c r="D1" s="44" t="s">
        <v>386</v>
      </c>
      <c r="E1" s="44" t="s">
        <v>388</v>
      </c>
      <c r="F1" s="44" t="s">
        <v>201</v>
      </c>
      <c r="G1" s="44" t="s">
        <v>202</v>
      </c>
    </row>
    <row r="2" spans="1:7" ht="65.400000000000006" customHeight="1">
      <c r="A2" s="46" t="s">
        <v>21</v>
      </c>
      <c r="B2" s="50" t="s">
        <v>235</v>
      </c>
      <c r="C2" s="50" t="s">
        <v>236</v>
      </c>
      <c r="D2" s="48">
        <v>2</v>
      </c>
      <c r="E2" s="48" t="str">
        <f>IFERROR(VLOOKUP(D2,Feuil1!A:B,2,FALSE),"")</f>
        <v>Répétable</v>
      </c>
      <c r="F2" s="62" t="str">
        <f>IFERROR(VLOOKUP(D2,Feuil1!A:C,3,FALSE),"")</f>
        <v>Des politiques de sécurité existent, mais elles sont appliquées manuellement et de façon incohérente selon les équipes.
L’automatisation et le MFA sont encore limités.</v>
      </c>
      <c r="G2" s="33"/>
    </row>
    <row r="3" spans="1:7" ht="41.4" customHeight="1">
      <c r="A3" s="46" t="s">
        <v>22</v>
      </c>
      <c r="B3" s="50" t="s">
        <v>237</v>
      </c>
      <c r="C3" s="50" t="s">
        <v>238</v>
      </c>
      <c r="D3" s="48">
        <v>4</v>
      </c>
      <c r="E3" s="48" t="str">
        <f>IFERROR(VLOOKUP(D3,Feuil1!A:B,2,FALSE),"")</f>
        <v>Maîtrisé</v>
      </c>
      <c r="F3" s="62" t="str">
        <f>IFERROR(VLOOKUP(D3,Feuil1!A:C,3,FALSE),"")</f>
        <v>La sécurité est centralisée et largement automatisée.
Elle est intégrée dans l’Infrastructure as Code et les pipelines de déploiement.</v>
      </c>
      <c r="G3" s="33"/>
    </row>
    <row r="4" spans="1:7" ht="67.8" customHeight="1">
      <c r="A4" s="46" t="s">
        <v>23</v>
      </c>
      <c r="B4" s="50" t="s">
        <v>239</v>
      </c>
      <c r="C4" s="50" t="s">
        <v>240</v>
      </c>
      <c r="D4" s="48">
        <v>3</v>
      </c>
      <c r="E4" s="48" t="str">
        <f>IFERROR(VLOOKUP(D4,Feuil1!A:B,2,FALSE),"")</f>
        <v>Défini</v>
      </c>
      <c r="F4" s="62" t="str">
        <f>IFERROR(VLOOKUP(D4,Feuil1!A:C,3,FALSE),"")</f>
        <v>Les politiques de sécurité sont centralisées et standardisées.
Certaines automatisations apparaissent et des outils de sécurité cloud commencent à être utilisés.</v>
      </c>
      <c r="G4" s="33"/>
    </row>
    <row r="5" spans="1:7" ht="72" customHeight="1">
      <c r="A5" s="46" t="s">
        <v>24</v>
      </c>
      <c r="B5" s="50" t="s">
        <v>241</v>
      </c>
      <c r="C5" s="50" t="s">
        <v>242</v>
      </c>
      <c r="D5" s="48">
        <v>1</v>
      </c>
      <c r="E5" s="48" t="str">
        <f>IFERROR(VLOOKUP(D5,Feuil1!A:B,2,FALSE),"")</f>
        <v>Initiale</v>
      </c>
      <c r="F5" s="62" t="str">
        <f>IFERROR(VLOOKUP(D5,Feuil1!A:C,3,FALSE),"")</f>
        <v>La sécurité est gérée manuellement et de manière non structurée.
Peu d’utilisation des fonctionnalités avancées du cloud et IAM peu organisé.</v>
      </c>
      <c r="G5" s="33"/>
    </row>
    <row r="6" spans="1:7" ht="74.400000000000006" customHeight="1">
      <c r="A6" s="46" t="s">
        <v>25</v>
      </c>
      <c r="B6" s="50" t="s">
        <v>243</v>
      </c>
      <c r="C6" s="50" t="s">
        <v>244</v>
      </c>
      <c r="D6" s="48">
        <v>3</v>
      </c>
      <c r="E6" s="48" t="str">
        <f>IFERROR(VLOOKUP(D6,Feuil1!A:B,2,FALSE),"")</f>
        <v>Défini</v>
      </c>
      <c r="F6" s="62" t="str">
        <f>IFERROR(VLOOKUP(D6,Feuil1!A:C,3,FALSE),"")</f>
        <v>Les politiques de sécurité sont centralisées et standardisées.
Certaines automatisations apparaissent et des outils de sécurité cloud commencent à être utilisés.</v>
      </c>
      <c r="G6" s="33"/>
    </row>
    <row r="7" spans="1:7" ht="127.8" customHeight="1">
      <c r="A7" s="46" t="s">
        <v>26</v>
      </c>
      <c r="B7" s="50" t="s">
        <v>245</v>
      </c>
      <c r="C7" s="50" t="s">
        <v>246</v>
      </c>
      <c r="D7" s="48">
        <v>5</v>
      </c>
      <c r="E7" s="48" t="str">
        <f>IFERROR(VLOOKUP(D7,Feuil1!A:B,2,FALSE),"")</f>
        <v xml:space="preserve">Optimisé </v>
      </c>
      <c r="F7" s="62" t="str">
        <f>IFERROR(VLOOKUP(D7,Feuil1!A:C,3,FALSE),"")</f>
        <v>La sécurité est entièrement intégrée, automatisée et pilotée par des plateformes centralisées.
Les contrôles sont cohérents et appliqués à grande échelle.</v>
      </c>
      <c r="G7" s="33"/>
    </row>
    <row r="8" spans="1:7" ht="77.400000000000006" customHeight="1">
      <c r="A8" s="46" t="s">
        <v>96</v>
      </c>
      <c r="B8" s="50" t="s">
        <v>247</v>
      </c>
      <c r="C8" s="50" t="s">
        <v>248</v>
      </c>
      <c r="D8" s="48">
        <v>4</v>
      </c>
      <c r="E8" s="48" t="str">
        <f>IFERROR(VLOOKUP(D8,Feuil1!A:B,2,FALSE),"")</f>
        <v>Maîtrisé</v>
      </c>
      <c r="F8" s="62" t="str">
        <f>IFERROR(VLOOKUP(D8,Feuil1!A:C,3,FALSE),"")</f>
        <v>La sécurité est centralisée et largement automatisée.
Elle est intégrée dans l’Infrastructure as Code et les pipelines de déploiement.</v>
      </c>
      <c r="G8" s="33"/>
    </row>
    <row r="9" spans="1:7">
      <c r="B9" s="4"/>
      <c r="C9" s="4"/>
    </row>
    <row r="10" spans="1:7">
      <c r="B10" s="4"/>
      <c r="C10" s="4"/>
    </row>
  </sheetData>
  <customSheetViews>
    <customSheetView guid="{F7C1623B-D7CD-CD4F-BF5C-C85D3815E60B}" scale="185" topLeftCell="A6">
      <selection activeCell="F7" sqref="A1:I7"/>
      <pageMargins left="0.7" right="0.7" top="0.75" bottom="0.75" header="0.3" footer="0.3"/>
      <pageSetup orientation="portrait" horizontalDpi="0" verticalDpi="0"/>
    </customSheetView>
    <customSheetView guid="{CB9281FB-53AC-4498-B6BF-6132B55113AF}" scale="80" topLeftCell="A7">
      <selection activeCell="A7" sqref="A7"/>
      <pageMargins left="0.7" right="0.7" top="0.75" bottom="0.75" header="0.3" footer="0.3"/>
      <pageSetup orientation="portrait" horizontalDpi="0" verticalDpi="0"/>
    </customSheetView>
    <customSheetView guid="{2C165A54-03F4-4551-85C8-E4ED1E664B78}" scale="80" topLeftCell="A7">
      <selection activeCell="A7" sqref="A7"/>
      <pageMargins left="0.7" right="0.7" top="0.75" bottom="0.75" header="0.3" footer="0.3"/>
      <pageSetup orientation="portrait" horizontalDpi="0" verticalDpi="0"/>
    </customSheetView>
  </customSheetViews>
  <conditionalFormatting sqref="D2:D8">
    <cfRule type="containsText" dxfId="178" priority="13" operator="containsText" text="NA">
      <formula>NOT(ISERROR(SEARCH("NA",D2)))</formula>
    </cfRule>
    <cfRule type="containsText" dxfId="177" priority="14" operator="containsText" text="5">
      <formula>NOT(ISERROR(SEARCH("5",D2)))</formula>
    </cfRule>
    <cfRule type="containsText" dxfId="176" priority="15" operator="containsText" text="4">
      <formula>NOT(ISERROR(SEARCH("4",D2)))</formula>
    </cfRule>
    <cfRule type="containsText" dxfId="175" priority="16" operator="containsText" text="3">
      <formula>NOT(ISERROR(SEARCH("3",D2)))</formula>
    </cfRule>
    <cfRule type="containsText" dxfId="174" priority="17" operator="containsText" text="2">
      <formula>NOT(ISERROR(SEARCH("2",D2)))</formula>
    </cfRule>
    <cfRule type="containsText" dxfId="173" priority="18" operator="containsText" text="1">
      <formula>NOT(ISERROR(SEARCH("1",D2)))</formula>
    </cfRule>
  </conditionalFormatting>
  <conditionalFormatting sqref="E2:E8">
    <cfRule type="beginsWith" dxfId="172" priority="7" operator="beginsWith" text="Maîtrisé">
      <formula>LEFT(E2,LEN("Maîtrisé"))="Maîtrisé"</formula>
    </cfRule>
    <cfRule type="beginsWith" dxfId="171" priority="8" operator="beginsWith" text="Non applicable">
      <formula>LEFT(E2,LEN("Non applicable"))="Non applicable"</formula>
    </cfRule>
    <cfRule type="beginsWith" dxfId="170" priority="9" operator="beginsWith" text="Défini">
      <formula>LEFT(E2,LEN("Défini"))="Défini"</formula>
    </cfRule>
    <cfRule type="beginsWith" dxfId="169" priority="10" operator="beginsWith" text="Optimisé">
      <formula>LEFT(E2,LEN("Optimisé"))="Optimisé"</formula>
    </cfRule>
    <cfRule type="beginsWith" dxfId="168" priority="11" operator="beginsWith" text="Répétable">
      <formula>LEFT(E2,LEN("Répétable"))="Répétable"</formula>
    </cfRule>
    <cfRule type="beginsWith" dxfId="167" priority="12" operator="beginsWith" text="Initiale">
      <formula>LEFT(E2,LEN("Initiale"))="Initiale"</formula>
    </cfRule>
  </conditionalFormatting>
  <conditionalFormatting sqref="F2:F8">
    <cfRule type="endsWith" dxfId="166" priority="1" operator="endsWith" text="échelle.">
      <formula>RIGHT(F2,LEN("échelle."))="échelle."</formula>
    </cfRule>
    <cfRule type="endsWith" dxfId="165" priority="2" operator="endsWith" text="peu organisé.">
      <formula>RIGHT(F2,LEN("peu organisé."))="peu organisé."</formula>
    </cfRule>
    <cfRule type="beginsWith" dxfId="164" priority="3" operator="beginsWith" text="Les politiques">
      <formula>LEFT(F2,LEN("Les politiques"))="Les politiques"</formula>
    </cfRule>
    <cfRule type="beginsWith" dxfId="163" priority="4" operator="beginsWith" text="Des politiques">
      <formula>LEFT(F2,LEN("Des politiques"))="Des politiques"</formula>
    </cfRule>
    <cfRule type="beginsWith" dxfId="162" priority="5" operator="beginsWith" text="La sécurité">
      <formula>LEFT(F2,LEN("La sécurité"))="La sécurité"</formula>
    </cfRule>
    <cfRule type="endsWith" dxfId="161" priority="6" operator="endsWith" text="cet environnement.">
      <formula>RIGHT(F2,LEN("cet environnement."))="cet environnement."</formula>
    </cfRule>
  </conditionalFormatting>
  <dataValidations count="1">
    <dataValidation type="list" allowBlank="1" showInputMessage="1" showErrorMessage="1" sqref="D2:D8" xr:uid="{7EE3C169-F4F8-465A-BC58-AA876C22B756}">
      <formula1>"1,2,3,4,5,NA"</formula1>
    </dataValidation>
  </dataValidation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19C80-E993-954C-B675-FF8E05E5D088}">
  <dimension ref="A1:G8"/>
  <sheetViews>
    <sheetView zoomScale="78" zoomScaleNormal="78" zoomScaleSheetLayoutView="100" workbookViewId="0">
      <pane ySplit="1" topLeftCell="A2" activePane="bottomLeft" state="frozen"/>
      <selection pane="bottomLeft" activeCell="C1" sqref="C1"/>
    </sheetView>
  </sheetViews>
  <sheetFormatPr baseColWidth="10" defaultColWidth="8.77734375" defaultRowHeight="13.2"/>
  <cols>
    <col min="1" max="1" width="15.77734375" customWidth="1"/>
    <col min="2" max="2" width="38" customWidth="1"/>
    <col min="3" max="3" width="58.44140625" customWidth="1"/>
    <col min="4" max="4" width="13.6640625" customWidth="1"/>
    <col min="5" max="5" width="19.21875" customWidth="1"/>
    <col min="6" max="6" width="81.6640625" customWidth="1"/>
    <col min="7" max="7" width="61.5546875" customWidth="1"/>
  </cols>
  <sheetData>
    <row r="1" spans="1:7" ht="42" customHeight="1">
      <c r="A1" s="44" t="s">
        <v>4</v>
      </c>
      <c r="B1" s="44" t="s">
        <v>415</v>
      </c>
      <c r="C1" s="44" t="s">
        <v>416</v>
      </c>
      <c r="D1" s="44" t="s">
        <v>101</v>
      </c>
      <c r="E1" s="44" t="s">
        <v>388</v>
      </c>
      <c r="F1" s="44" t="s">
        <v>201</v>
      </c>
      <c r="G1" s="44" t="s">
        <v>202</v>
      </c>
    </row>
    <row r="2" spans="1:7" ht="85.8" customHeight="1">
      <c r="A2" s="47" t="s">
        <v>27</v>
      </c>
      <c r="B2" s="47" t="s">
        <v>249</v>
      </c>
      <c r="C2" s="50" t="s">
        <v>250</v>
      </c>
      <c r="D2" s="48">
        <v>5</v>
      </c>
      <c r="E2" s="48" t="str">
        <f>IFERROR(VLOOKUP(D2,Feuil1!A:B,2,FALSE),"")</f>
        <v xml:space="preserve">Optimisé </v>
      </c>
      <c r="F2" s="62" t="str">
        <f>IFERROR(VLOOKUP(D2,Feuil1!A:C,3,FALSE),"")</f>
        <v>La sécurité est entièrement intégrée, automatisée et pilotée par des plateformes centralisées.
Les contrôles sont cohérents et appliqués à grande échelle.</v>
      </c>
      <c r="G2" s="33"/>
    </row>
    <row r="3" spans="1:7" ht="58.8" customHeight="1">
      <c r="A3" s="47" t="s">
        <v>28</v>
      </c>
      <c r="B3" s="50" t="s">
        <v>251</v>
      </c>
      <c r="C3" s="50" t="s">
        <v>252</v>
      </c>
      <c r="D3" s="48">
        <v>1</v>
      </c>
      <c r="E3" s="48" t="str">
        <f>IFERROR(VLOOKUP(D3,Feuil1!A:B,2,FALSE),"")</f>
        <v>Initiale</v>
      </c>
      <c r="F3" s="62" t="str">
        <f>IFERROR(VLOOKUP(D3,Feuil1!A:C,3,FALSE),"")</f>
        <v>La sécurité est gérée manuellement et de manière non structurée.
Peu d’utilisation des fonctionnalités avancées du cloud et IAM peu organisé.</v>
      </c>
      <c r="G3" s="33"/>
    </row>
    <row r="4" spans="1:7" ht="55.2">
      <c r="A4" s="47" t="s">
        <v>29</v>
      </c>
      <c r="B4" s="50" t="s">
        <v>253</v>
      </c>
      <c r="C4" s="50" t="s">
        <v>254</v>
      </c>
      <c r="D4" s="48">
        <v>2</v>
      </c>
      <c r="E4" s="48" t="str">
        <f>IFERROR(VLOOKUP(D4,Feuil1!A:B,2,FALSE),"")</f>
        <v>Répétable</v>
      </c>
      <c r="F4" s="62" t="str">
        <f>IFERROR(VLOOKUP(D4,Feuil1!A:C,3,FALSE),"")</f>
        <v>Des politiques de sécurité existent, mais elles sont appliquées manuellement et de façon incohérente selon les équipes.
L’automatisation et le MFA sont encore limités.</v>
      </c>
      <c r="G4" s="33"/>
    </row>
    <row r="5" spans="1:7" ht="82.8" customHeight="1">
      <c r="A5" s="47" t="s">
        <v>30</v>
      </c>
      <c r="B5" s="50" t="s">
        <v>255</v>
      </c>
      <c r="C5" s="50" t="s">
        <v>256</v>
      </c>
      <c r="D5" s="48">
        <v>5</v>
      </c>
      <c r="E5" s="48" t="str">
        <f>IFERROR(VLOOKUP(D5,Feuil1!A:B,2,FALSE),"")</f>
        <v xml:space="preserve">Optimisé </v>
      </c>
      <c r="F5" s="62" t="str">
        <f>IFERROR(VLOOKUP(D5,Feuil1!A:C,3,FALSE),"")</f>
        <v>La sécurité est entièrement intégrée, automatisée et pilotée par des plateformes centralisées.
Les contrôles sont cohérents et appliqués à grande échelle.</v>
      </c>
      <c r="G5" s="33"/>
    </row>
    <row r="6" spans="1:7" ht="85.2" customHeight="1">
      <c r="A6" s="47" t="s">
        <v>31</v>
      </c>
      <c r="B6" s="50" t="s">
        <v>257</v>
      </c>
      <c r="C6" s="50" t="s">
        <v>258</v>
      </c>
      <c r="D6" s="48">
        <v>4</v>
      </c>
      <c r="E6" s="48" t="str">
        <f>IFERROR(VLOOKUP(D6,Feuil1!A:B,2,FALSE),"")</f>
        <v>Maîtrisé</v>
      </c>
      <c r="F6" s="62" t="str">
        <f>IFERROR(VLOOKUP(D6,Feuil1!A:C,3,FALSE),"")</f>
        <v>La sécurité est centralisée et largement automatisée.
Elle est intégrée dans l’Infrastructure as Code et les pipelines de déploiement.</v>
      </c>
      <c r="G6" s="33"/>
    </row>
    <row r="7" spans="1:7" ht="88.2" customHeight="1">
      <c r="A7" s="47" t="s">
        <v>32</v>
      </c>
      <c r="B7" s="50" t="s">
        <v>259</v>
      </c>
      <c r="C7" s="50" t="s">
        <v>260</v>
      </c>
      <c r="D7" s="48">
        <v>3</v>
      </c>
      <c r="E7" s="48" t="str">
        <f>IFERROR(VLOOKUP(D7,Feuil1!A:B,2,FALSE),"")</f>
        <v>Défini</v>
      </c>
      <c r="F7" s="62" t="str">
        <f>IFERROR(VLOOKUP(D7,Feuil1!A:C,3,FALSE),"")</f>
        <v>Les politiques de sécurité sont centralisées et standardisées.
Certaines automatisations apparaissent et des outils de sécurité cloud commencent à être utilisés.</v>
      </c>
      <c r="G7" s="33"/>
    </row>
    <row r="8" spans="1:7" ht="68.400000000000006" customHeight="1">
      <c r="A8" s="49" t="s">
        <v>33</v>
      </c>
      <c r="B8" s="53" t="s">
        <v>261</v>
      </c>
      <c r="C8" s="50" t="s">
        <v>262</v>
      </c>
      <c r="D8" s="48">
        <v>2</v>
      </c>
      <c r="E8" s="48" t="str">
        <f>IFERROR(VLOOKUP(D8,Feuil1!A:B,2,FALSE),"")</f>
        <v>Répétable</v>
      </c>
      <c r="F8" s="62" t="str">
        <f>IFERROR(VLOOKUP(D8,Feuil1!A:C,3,FALSE),"")</f>
        <v>Des politiques de sécurité existent, mais elles sont appliquées manuellement et de façon incohérente selon les équipes.
L’automatisation et le MFA sont encore limités.</v>
      </c>
      <c r="G8" s="33"/>
    </row>
  </sheetData>
  <customSheetViews>
    <customSheetView guid="{F7C1623B-D7CD-CD4F-BF5C-C85D3815E60B}" scale="185">
      <selection activeCell="G5" sqref="A1:I8"/>
      <pageMargins left="0.7" right="0.7" top="0.75" bottom="0.75" header="0.3" footer="0.3"/>
      <pageSetup orientation="portrait" horizontalDpi="0" verticalDpi="0"/>
    </customSheetView>
    <customSheetView guid="{CB9281FB-53AC-4498-B6BF-6132B55113AF}" scale="90" topLeftCell="A10">
      <selection activeCell="C2" sqref="C2"/>
      <pageMargins left="0.7" right="0.7" top="0.75" bottom="0.75" header="0.3" footer="0.3"/>
      <pageSetup orientation="portrait" horizontalDpi="0" verticalDpi="0"/>
    </customSheetView>
    <customSheetView guid="{2C165A54-03F4-4551-85C8-E4ED1E664B78}" scale="90" topLeftCell="A10">
      <selection activeCell="C2" sqref="C2"/>
      <pageMargins left="0.7" right="0.7" top="0.75" bottom="0.75" header="0.3" footer="0.3"/>
      <pageSetup orientation="portrait" horizontalDpi="0" verticalDpi="0"/>
    </customSheetView>
  </customSheetViews>
  <conditionalFormatting sqref="D2:D8">
    <cfRule type="containsText" dxfId="160" priority="13" operator="containsText" text="NA">
      <formula>NOT(ISERROR(SEARCH("NA",D2)))</formula>
    </cfRule>
    <cfRule type="containsText" dxfId="159" priority="14" operator="containsText" text="5">
      <formula>NOT(ISERROR(SEARCH("5",D2)))</formula>
    </cfRule>
    <cfRule type="containsText" dxfId="158" priority="15" operator="containsText" text="4">
      <formula>NOT(ISERROR(SEARCH("4",D2)))</formula>
    </cfRule>
    <cfRule type="containsText" dxfId="157" priority="16" operator="containsText" text="3">
      <formula>NOT(ISERROR(SEARCH("3",D2)))</formula>
    </cfRule>
    <cfRule type="containsText" dxfId="156" priority="17" operator="containsText" text="2">
      <formula>NOT(ISERROR(SEARCH("2",D2)))</formula>
    </cfRule>
    <cfRule type="containsText" dxfId="155" priority="18" operator="containsText" text="1">
      <formula>NOT(ISERROR(SEARCH("1",D2)))</formula>
    </cfRule>
  </conditionalFormatting>
  <conditionalFormatting sqref="E2:E8">
    <cfRule type="beginsWith" dxfId="154" priority="7" operator="beginsWith" text="Maîtrisé">
      <formula>LEFT(E2,LEN("Maîtrisé"))="Maîtrisé"</formula>
    </cfRule>
    <cfRule type="beginsWith" dxfId="153" priority="8" operator="beginsWith" text="Optimisé">
      <formula>LEFT(E2,LEN("Optimisé"))="Optimisé"</formula>
    </cfRule>
    <cfRule type="beginsWith" dxfId="152" priority="9" operator="beginsWith" text="Non applicable">
      <formula>LEFT(E2,LEN("Non applicable"))="Non applicable"</formula>
    </cfRule>
    <cfRule type="beginsWith" dxfId="151" priority="10" operator="beginsWith" text="Défini">
      <formula>LEFT(E2,LEN("Défini"))="Défini"</formula>
    </cfRule>
    <cfRule type="beginsWith" dxfId="150" priority="11" operator="beginsWith" text="Répétable">
      <formula>LEFT(E2,LEN("Répétable"))="Répétable"</formula>
    </cfRule>
    <cfRule type="beginsWith" dxfId="149" priority="12" operator="beginsWith" text="Initiale">
      <formula>LEFT(E2,LEN("Initiale"))="Initiale"</formula>
    </cfRule>
  </conditionalFormatting>
  <conditionalFormatting sqref="F2:F8">
    <cfRule type="endsWith" dxfId="148" priority="1" operator="endsWith" text="échelle.">
      <formula>RIGHT(F2,LEN("échelle."))="échelle."</formula>
    </cfRule>
    <cfRule type="endsWith" dxfId="147" priority="2" operator="endsWith" text="cet environnement.">
      <formula>RIGHT(F2,LEN("cet environnement."))="cet environnement."</formula>
    </cfRule>
    <cfRule type="beginsWith" dxfId="146" priority="3" operator="beginsWith" text="Des politiques">
      <formula>LEFT(F2,LEN("Des politiques"))="Des politiques"</formula>
    </cfRule>
    <cfRule type="endsWith" dxfId="145" priority="4" operator="endsWith" text="peu organisé.">
      <formula>RIGHT(F2,LEN("peu organisé."))="peu organisé."</formula>
    </cfRule>
    <cfRule type="beginsWith" dxfId="144" priority="5" operator="beginsWith" text="La sécurité">
      <formula>LEFT(F2,LEN("La sécurité"))="La sécurité"</formula>
    </cfRule>
    <cfRule type="beginsWith" dxfId="143" priority="6" operator="beginsWith" text="Les politiques">
      <formula>LEFT(F2,LEN("Les politiques"))="Les politiques"</formula>
    </cfRule>
  </conditionalFormatting>
  <dataValidations count="1">
    <dataValidation type="list" allowBlank="1" showInputMessage="1" showErrorMessage="1" sqref="D2:D8" xr:uid="{EF9A1B64-D9E9-44D9-8DA9-D1B6758880E0}">
      <formula1>"1,2,3,4,5,NA"</formula1>
    </dataValidation>
  </dataValidation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7AFE-2D38-6C42-890D-DDD1E492928F}">
  <dimension ref="A1:G13"/>
  <sheetViews>
    <sheetView zoomScale="79" zoomScaleNormal="79" zoomScaleSheetLayoutView="100" workbookViewId="0">
      <pane ySplit="1" topLeftCell="A6" activePane="bottomLeft" state="frozen"/>
      <selection pane="bottomLeft" activeCell="C1" sqref="C1"/>
    </sheetView>
  </sheetViews>
  <sheetFormatPr baseColWidth="10" defaultColWidth="8.77734375" defaultRowHeight="13.2"/>
  <cols>
    <col min="1" max="1" width="15.77734375" customWidth="1"/>
    <col min="2" max="2" width="45.109375" customWidth="1"/>
    <col min="3" max="3" width="75.109375" customWidth="1"/>
    <col min="4" max="4" width="16.5546875" customWidth="1"/>
    <col min="5" max="5" width="14.5546875" customWidth="1"/>
    <col min="6" max="6" width="91.5546875" customWidth="1"/>
    <col min="7" max="7" width="52" customWidth="1"/>
  </cols>
  <sheetData>
    <row r="1" spans="1:7" ht="42.6" customHeight="1">
      <c r="A1" s="44" t="s">
        <v>4</v>
      </c>
      <c r="B1" s="44" t="s">
        <v>415</v>
      </c>
      <c r="C1" s="44" t="s">
        <v>416</v>
      </c>
      <c r="D1" s="44" t="s">
        <v>101</v>
      </c>
      <c r="E1" s="63" t="s">
        <v>388</v>
      </c>
      <c r="F1" s="63" t="s">
        <v>201</v>
      </c>
      <c r="G1" s="63" t="s">
        <v>202</v>
      </c>
    </row>
    <row r="2" spans="1:7" ht="63" customHeight="1">
      <c r="A2" s="46" t="s">
        <v>40</v>
      </c>
      <c r="B2" s="50" t="s">
        <v>275</v>
      </c>
      <c r="C2" s="50" t="s">
        <v>276</v>
      </c>
      <c r="D2" s="48">
        <v>1</v>
      </c>
      <c r="E2" s="48" t="str">
        <f>IFERROR(VLOOKUP(D2,Feuil1!A:B,2,FALSE),"")</f>
        <v>Initiale</v>
      </c>
      <c r="F2" s="62" t="str">
        <f>IFERROR(VLOOKUP(D2,Feuil1!A:C,3,FALSE),"")</f>
        <v>La sécurité est gérée manuellement et de manière non structurée.
Peu d’utilisation des fonctionnalités avancées du cloud et IAM peu organisé.</v>
      </c>
      <c r="G2" s="33"/>
    </row>
    <row r="3" spans="1:7" ht="45" customHeight="1">
      <c r="A3" s="46" t="s">
        <v>41</v>
      </c>
      <c r="B3" s="50" t="s">
        <v>277</v>
      </c>
      <c r="C3" s="50" t="s">
        <v>278</v>
      </c>
      <c r="D3" s="48">
        <v>4</v>
      </c>
      <c r="E3" s="48" t="str">
        <f>IFERROR(VLOOKUP(D3,Feuil1!A:B,2,FALSE),"")</f>
        <v>Maîtrisé</v>
      </c>
      <c r="F3" s="62" t="str">
        <f>IFERROR(VLOOKUP(D3,Feuil1!A:C,3,FALSE),"")</f>
        <v>La sécurité est centralisée et largement automatisée.
Elle est intégrée dans l’Infrastructure as Code et les pipelines de déploiement.</v>
      </c>
      <c r="G3" s="33"/>
    </row>
    <row r="4" spans="1:7" ht="80.400000000000006" customHeight="1">
      <c r="A4" s="46" t="s">
        <v>42</v>
      </c>
      <c r="B4" s="50" t="s">
        <v>279</v>
      </c>
      <c r="C4" s="50" t="s">
        <v>280</v>
      </c>
      <c r="D4" s="48">
        <v>5</v>
      </c>
      <c r="E4" s="48" t="str">
        <f>IFERROR(VLOOKUP(D4,Feuil1!A:B,2,FALSE),"")</f>
        <v xml:space="preserve">Optimisé </v>
      </c>
      <c r="F4" s="62" t="str">
        <f>IFERROR(VLOOKUP(D4,Feuil1!A:C,3,FALSE),"")</f>
        <v>La sécurité est entièrement intégrée, automatisée et pilotée par des plateformes centralisées.
Les contrôles sont cohérents et appliqués à grande échelle.</v>
      </c>
      <c r="G4" s="33"/>
    </row>
    <row r="5" spans="1:7" ht="39.6" customHeight="1">
      <c r="A5" s="46" t="s">
        <v>43</v>
      </c>
      <c r="B5" s="50" t="s">
        <v>281</v>
      </c>
      <c r="C5" s="50" t="s">
        <v>282</v>
      </c>
      <c r="D5" s="48">
        <v>3</v>
      </c>
      <c r="E5" s="48" t="str">
        <f>IFERROR(VLOOKUP(D5,Feuil1!A:B,2,FALSE),"")</f>
        <v>Défini</v>
      </c>
      <c r="F5" s="62" t="str">
        <f>IFERROR(VLOOKUP(D5,Feuil1!A:C,3,FALSE),"")</f>
        <v>Les politiques de sécurité sont centralisées et standardisées.
Certaines automatisations apparaissent et des outils de sécurité cloud commencent à être utilisés.</v>
      </c>
      <c r="G5" s="33"/>
    </row>
    <row r="6" spans="1:7" ht="51.6" customHeight="1">
      <c r="A6" s="46" t="s">
        <v>44</v>
      </c>
      <c r="B6" s="50" t="s">
        <v>283</v>
      </c>
      <c r="C6" s="50" t="s">
        <v>284</v>
      </c>
      <c r="D6" s="48">
        <v>1</v>
      </c>
      <c r="E6" s="48" t="str">
        <f>IFERROR(VLOOKUP(D6,Feuil1!A:B,2,FALSE),"")</f>
        <v>Initiale</v>
      </c>
      <c r="F6" s="62" t="str">
        <f>IFERROR(VLOOKUP(D6,Feuil1!A:C,3,FALSE),"")</f>
        <v>La sécurité est gérée manuellement et de manière non structurée.
Peu d’utilisation des fonctionnalités avancées du cloud et IAM peu organisé.</v>
      </c>
      <c r="G6" s="33"/>
    </row>
    <row r="7" spans="1:7" ht="64.2" customHeight="1">
      <c r="A7" s="46" t="s">
        <v>45</v>
      </c>
      <c r="B7" s="50" t="s">
        <v>285</v>
      </c>
      <c r="C7" s="50" t="s">
        <v>286</v>
      </c>
      <c r="D7" s="48">
        <v>3</v>
      </c>
      <c r="E7" s="48" t="str">
        <f>IFERROR(VLOOKUP(D7,Feuil1!A:B,2,FALSE),"")</f>
        <v>Défini</v>
      </c>
      <c r="F7" s="62" t="str">
        <f>IFERROR(VLOOKUP(D7,Feuil1!A:C,3,FALSE),"")</f>
        <v>Les politiques de sécurité sont centralisées et standardisées.
Certaines automatisations apparaissent et des outils de sécurité cloud commencent à être utilisés.</v>
      </c>
      <c r="G7" s="33"/>
    </row>
    <row r="8" spans="1:7" ht="79.2" customHeight="1">
      <c r="A8" s="46" t="s">
        <v>46</v>
      </c>
      <c r="B8" s="50" t="s">
        <v>287</v>
      </c>
      <c r="C8" s="50" t="s">
        <v>288</v>
      </c>
      <c r="D8" s="48">
        <v>4</v>
      </c>
      <c r="E8" s="48" t="str">
        <f>IFERROR(VLOOKUP(D8,Feuil1!A:B,2,FALSE),"")</f>
        <v>Maîtrisé</v>
      </c>
      <c r="F8" s="62" t="str">
        <f>IFERROR(VLOOKUP(D8,Feuil1!A:C,3,FALSE),"")</f>
        <v>La sécurité est centralisée et largement automatisée.
Elle est intégrée dans l’Infrastructure as Code et les pipelines de déploiement.</v>
      </c>
      <c r="G8" s="33"/>
    </row>
    <row r="9" spans="1:7" s="5" customFormat="1" ht="48.6" customHeight="1">
      <c r="A9" s="46" t="s">
        <v>47</v>
      </c>
      <c r="B9" s="50" t="s">
        <v>289</v>
      </c>
      <c r="C9" s="50" t="s">
        <v>290</v>
      </c>
      <c r="D9" s="48">
        <v>2</v>
      </c>
      <c r="E9" s="48" t="str">
        <f>IFERROR(VLOOKUP(D9,Feuil1!A:B,2,FALSE),"")</f>
        <v>Répétable</v>
      </c>
      <c r="F9" s="62" t="str">
        <f>IFERROR(VLOOKUP(D9,Feuil1!A:C,3,FALSE),"")</f>
        <v>Des politiques de sécurité existent, mais elles sont appliquées manuellement et de façon incohérente selon les équipes.
L’automatisation et le MFA sont encore limités.</v>
      </c>
      <c r="G9" s="64"/>
    </row>
    <row r="10" spans="1:7" ht="63.6" customHeight="1">
      <c r="A10" s="54" t="s">
        <v>48</v>
      </c>
      <c r="B10" s="55" t="s">
        <v>291</v>
      </c>
      <c r="C10" s="55" t="s">
        <v>292</v>
      </c>
      <c r="D10" s="48">
        <v>2</v>
      </c>
      <c r="E10" s="48" t="str">
        <f>IFERROR(VLOOKUP(D10,Feuil1!A:B,2,FALSE),"")</f>
        <v>Répétable</v>
      </c>
      <c r="F10" s="62" t="str">
        <f>IFERROR(VLOOKUP(D10,Feuil1!A:C,3,FALSE),"")</f>
        <v>Des politiques de sécurité existent, mais elles sont appliquées manuellement et de façon incohérente selon les équipes.
L’automatisation et le MFA sont encore limités.</v>
      </c>
      <c r="G10" s="33"/>
    </row>
    <row r="11" spans="1:7" ht="67.2" customHeight="1">
      <c r="A11" s="46" t="s">
        <v>49</v>
      </c>
      <c r="B11" s="50" t="s">
        <v>293</v>
      </c>
      <c r="C11" s="50" t="s">
        <v>294</v>
      </c>
      <c r="D11" s="48">
        <v>2</v>
      </c>
      <c r="E11" s="48" t="str">
        <f>IFERROR(VLOOKUP(D11,Feuil1!A:B,2,FALSE),"")</f>
        <v>Répétable</v>
      </c>
      <c r="F11" s="62" t="str">
        <f>IFERROR(VLOOKUP(D11,Feuil1!A:C,3,FALSE),"")</f>
        <v>Des politiques de sécurité existent, mais elles sont appliquées manuellement et de façon incohérente selon les équipes.
L’automatisation et le MFA sont encore limités.</v>
      </c>
      <c r="G11" s="33"/>
    </row>
    <row r="12" spans="1:7" ht="47.4" customHeight="1">
      <c r="A12" s="46" t="s">
        <v>100</v>
      </c>
      <c r="B12" s="50" t="s">
        <v>293</v>
      </c>
      <c r="C12" s="50" t="s">
        <v>294</v>
      </c>
      <c r="D12" s="48">
        <v>2</v>
      </c>
      <c r="E12" s="48" t="str">
        <f>IFERROR(VLOOKUP(D12,Feuil1!A:B,2,FALSE),"")</f>
        <v>Répétable</v>
      </c>
      <c r="F12" s="62" t="str">
        <f>IFERROR(VLOOKUP(D12,Feuil1!A:C,3,FALSE),"")</f>
        <v>Des politiques de sécurité existent, mais elles sont appliquées manuellement et de façon incohérente selon les équipes.
L’automatisation et le MFA sont encore limités.</v>
      </c>
      <c r="G12" s="33"/>
    </row>
    <row r="13" spans="1:7">
      <c r="B13" s="4"/>
      <c r="C13" s="4"/>
    </row>
  </sheetData>
  <customSheetViews>
    <customSheetView guid="{F7C1623B-D7CD-CD4F-BF5C-C85D3815E60B}" scale="185" topLeftCell="A8">
      <selection activeCell="F11" sqref="A1:I12"/>
      <pageMargins left="0.7" right="0.7" top="0.75" bottom="0.75" header="0.3" footer="0.3"/>
      <pageSetup orientation="portrait" horizontalDpi="0" verticalDpi="0"/>
    </customSheetView>
    <customSheetView guid="{CB9281FB-53AC-4498-B6BF-6132B55113AF}" scale="70" topLeftCell="A11">
      <selection activeCell="D9" sqref="D9"/>
      <pageMargins left="0.7" right="0.7" top="0.75" bottom="0.75" header="0.3" footer="0.3"/>
      <pageSetup orientation="portrait" horizontalDpi="0" verticalDpi="0"/>
    </customSheetView>
    <customSheetView guid="{2C165A54-03F4-4551-85C8-E4ED1E664B78}" scale="70" topLeftCell="A11">
      <selection activeCell="D9" sqref="D9"/>
      <pageMargins left="0.7" right="0.7" top="0.75" bottom="0.75" header="0.3" footer="0.3"/>
      <pageSetup orientation="portrait" horizontalDpi="0" verticalDpi="0"/>
    </customSheetView>
  </customSheetViews>
  <conditionalFormatting sqref="D2:D12">
    <cfRule type="containsText" dxfId="142" priority="14" operator="containsText" text="NA">
      <formula>NOT(ISERROR(SEARCH("NA",D2)))</formula>
    </cfRule>
    <cfRule type="containsText" dxfId="141" priority="15" operator="containsText" text="5">
      <formula>NOT(ISERROR(SEARCH("5",D2)))</formula>
    </cfRule>
    <cfRule type="containsText" dxfId="140" priority="16" operator="containsText" text="4">
      <formula>NOT(ISERROR(SEARCH("4",D2)))</formula>
    </cfRule>
    <cfRule type="containsText" dxfId="139" priority="17" operator="containsText" text="3">
      <formula>NOT(ISERROR(SEARCH("3",D2)))</formula>
    </cfRule>
    <cfRule type="containsText" dxfId="138" priority="18" operator="containsText" text="2">
      <formula>NOT(ISERROR(SEARCH("2",D2)))</formula>
    </cfRule>
    <cfRule type="containsText" dxfId="137" priority="19" operator="containsText" text="1">
      <formula>NOT(ISERROR(SEARCH("1",D2)))</formula>
    </cfRule>
  </conditionalFormatting>
  <conditionalFormatting sqref="E2:E12">
    <cfRule type="containsText" dxfId="136" priority="8" operator="containsText" text="Initiale">
      <formula>NOT(ISERROR(SEARCH("Initiale",E2)))</formula>
    </cfRule>
    <cfRule type="beginsWith" dxfId="135" priority="9" operator="beginsWith" text="Défini">
      <formula>LEFT(E2,LEN("Défini"))="Défini"</formula>
    </cfRule>
    <cfRule type="containsText" dxfId="134" priority="10" operator="containsText" text="Répétable">
      <formula>NOT(ISERROR(SEARCH("Répétable",E2)))</formula>
    </cfRule>
    <cfRule type="containsText" dxfId="133" priority="11" operator="containsText" text="Optimisé">
      <formula>NOT(ISERROR(SEARCH("Optimisé",E2)))</formula>
    </cfRule>
    <cfRule type="containsText" dxfId="132" priority="12" operator="containsText" text="Maîtrisé">
      <formula>NOT(ISERROR(SEARCH("Maîtrisé",E2)))</formula>
    </cfRule>
    <cfRule type="containsText" dxfId="131" priority="13" operator="containsText" text="Non applicable">
      <formula>NOT(ISERROR(SEARCH("Non applicable",E2)))</formula>
    </cfRule>
  </conditionalFormatting>
  <conditionalFormatting sqref="F2:F12">
    <cfRule type="endsWith" dxfId="130" priority="1" operator="endsWith" text="échelle.">
      <formula>RIGHT(F2,LEN("échelle."))="échelle."</formula>
    </cfRule>
    <cfRule type="beginsWith" dxfId="129" priority="2" operator="beginsWith" text="Les politiques">
      <formula>LEFT(F2,LEN("Les politiques"))="Les politiques"</formula>
    </cfRule>
    <cfRule type="endsWith" dxfId="128" priority="3" operator="endsWith" text="cet environnement.">
      <formula>RIGHT(F2,LEN("cet environnement."))="cet environnement."</formula>
    </cfRule>
    <cfRule type="endsWith" dxfId="127" priority="4" operator="endsWith" text="peu organisé.">
      <formula>RIGHT(F2,LEN("peu organisé."))="peu organisé."</formula>
    </cfRule>
    <cfRule type="beginsWith" dxfId="126" priority="5" operator="beginsWith" text="La sécurité">
      <formula>LEFT(F2,LEN("La sécurité"))="La sécurité"</formula>
    </cfRule>
    <cfRule type="containsText" dxfId="125" priority="7" operator="containsText" text="Des politiques">
      <formula>NOT(ISERROR(SEARCH("Des politiques",F2)))</formula>
    </cfRule>
  </conditionalFormatting>
  <dataValidations count="1">
    <dataValidation type="list" allowBlank="1" showInputMessage="1" showErrorMessage="1" sqref="D2:D12" xr:uid="{AB200F65-356B-469F-8FD3-5BD23B311CC5}">
      <formula1>"1,2,3,4,5,NA"</formula1>
    </dataValidation>
  </dataValidation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875B-4EBF-B84C-BA9E-871EA5FC896A}">
  <dimension ref="A1:G9"/>
  <sheetViews>
    <sheetView zoomScale="75" zoomScaleNormal="75" zoomScaleSheetLayoutView="100" workbookViewId="0">
      <pane ySplit="1" topLeftCell="A3" activePane="bottomLeft" state="frozen"/>
      <selection pane="bottomLeft" activeCell="F2" sqref="F2:F7"/>
    </sheetView>
  </sheetViews>
  <sheetFormatPr baseColWidth="10" defaultColWidth="8.77734375" defaultRowHeight="13.2"/>
  <cols>
    <col min="1" max="1" width="15.77734375" customWidth="1"/>
    <col min="2" max="2" width="39.5546875" customWidth="1"/>
    <col min="3" max="3" width="63.88671875" customWidth="1"/>
    <col min="4" max="4" width="14.77734375" customWidth="1"/>
    <col min="5" max="5" width="18.5546875" customWidth="1"/>
    <col min="6" max="6" width="87" customWidth="1"/>
    <col min="7" max="7" width="59.109375" customWidth="1"/>
  </cols>
  <sheetData>
    <row r="1" spans="1:7" ht="37.200000000000003" customHeight="1">
      <c r="A1" s="44" t="s">
        <v>4</v>
      </c>
      <c r="B1" s="44" t="s">
        <v>415</v>
      </c>
      <c r="C1" s="44" t="s">
        <v>416</v>
      </c>
      <c r="D1" s="44" t="s">
        <v>101</v>
      </c>
      <c r="E1" s="44" t="s">
        <v>388</v>
      </c>
      <c r="F1" s="44" t="s">
        <v>201</v>
      </c>
      <c r="G1" s="44" t="s">
        <v>202</v>
      </c>
    </row>
    <row r="2" spans="1:7" ht="60" customHeight="1">
      <c r="A2" s="46" t="s">
        <v>34</v>
      </c>
      <c r="B2" s="47" t="s">
        <v>263</v>
      </c>
      <c r="C2" s="50" t="s">
        <v>267</v>
      </c>
      <c r="D2" s="48">
        <v>1</v>
      </c>
      <c r="E2" s="48" t="str">
        <f>IFERROR(VLOOKUP(D2,Feuil1!A:B,2,FALSE),"")</f>
        <v>Initiale</v>
      </c>
      <c r="F2" s="62" t="str">
        <f>IFERROR(VLOOKUP(D2,Feuil1!A:C,3,FALSE),"")</f>
        <v>La sécurité est gérée manuellement et de manière non structurée.
Peu d’utilisation des fonctionnalités avancées du cloud et IAM peu organisé.</v>
      </c>
      <c r="G2" s="33"/>
    </row>
    <row r="3" spans="1:7" ht="88.2" customHeight="1">
      <c r="A3" s="46" t="s">
        <v>35</v>
      </c>
      <c r="B3" s="47" t="s">
        <v>264</v>
      </c>
      <c r="C3" s="50" t="s">
        <v>268</v>
      </c>
      <c r="D3" s="48">
        <v>4</v>
      </c>
      <c r="E3" s="48" t="str">
        <f>IFERROR(VLOOKUP(D3,Feuil1!A:B,2,FALSE),"")</f>
        <v>Maîtrisé</v>
      </c>
      <c r="F3" s="62" t="str">
        <f>IFERROR(VLOOKUP(D3,Feuil1!A:C,3,FALSE),"")</f>
        <v>La sécurité est centralisée et largement automatisée.
Elle est intégrée dans l’Infrastructure as Code et les pipelines de déploiement.</v>
      </c>
      <c r="G3" s="33"/>
    </row>
    <row r="4" spans="1:7" ht="43.8" customHeight="1">
      <c r="A4" s="46" t="s">
        <v>36</v>
      </c>
      <c r="B4" s="47" t="s">
        <v>265</v>
      </c>
      <c r="C4" s="50" t="s">
        <v>269</v>
      </c>
      <c r="D4" s="48">
        <v>5</v>
      </c>
      <c r="E4" s="48" t="str">
        <f>IFERROR(VLOOKUP(D4,Feuil1!A:B,2,FALSE),"")</f>
        <v xml:space="preserve">Optimisé </v>
      </c>
      <c r="F4" s="62" t="str">
        <f>IFERROR(VLOOKUP(D4,Feuil1!A:C,3,FALSE),"")</f>
        <v>La sécurité est entièrement intégrée, automatisée et pilotée par des plateformes centralisées.
Les contrôles sont cohérents et appliqués à grande échelle.</v>
      </c>
      <c r="G4" s="33"/>
    </row>
    <row r="5" spans="1:7" ht="69.599999999999994" customHeight="1">
      <c r="A5" s="46" t="s">
        <v>37</v>
      </c>
      <c r="B5" s="47" t="s">
        <v>266</v>
      </c>
      <c r="C5" s="50" t="s">
        <v>270</v>
      </c>
      <c r="D5" s="48">
        <v>2</v>
      </c>
      <c r="E5" s="48" t="str">
        <f>IFERROR(VLOOKUP(D5,Feuil1!A:B,2,FALSE),"")</f>
        <v>Répétable</v>
      </c>
      <c r="F5" s="62" t="str">
        <f>IFERROR(VLOOKUP(D5,Feuil1!A:C,3,FALSE),"")</f>
        <v>Des politiques de sécurité existent, mais elles sont appliquées manuellement et de façon incohérente selon les équipes.
L’automatisation et le MFA sont encore limités.</v>
      </c>
      <c r="G5" s="33"/>
    </row>
    <row r="6" spans="1:7" ht="124.2" customHeight="1">
      <c r="A6" s="46" t="s">
        <v>38</v>
      </c>
      <c r="B6" s="47" t="s">
        <v>271</v>
      </c>
      <c r="C6" s="50" t="s">
        <v>272</v>
      </c>
      <c r="D6" s="48">
        <v>3</v>
      </c>
      <c r="E6" s="48" t="str">
        <f>IFERROR(VLOOKUP(D6,Feuil1!A:B,2,FALSE),"")</f>
        <v>Défini</v>
      </c>
      <c r="F6" s="62" t="str">
        <f>IFERROR(VLOOKUP(D6,Feuil1!A:C,3,FALSE),"")</f>
        <v>Les politiques de sécurité sont centralisées et standardisées.
Certaines automatisations apparaissent et des outils de sécurité cloud commencent à être utilisés.</v>
      </c>
      <c r="G6" s="33"/>
    </row>
    <row r="7" spans="1:7" ht="94.8" customHeight="1">
      <c r="A7" s="46" t="s">
        <v>39</v>
      </c>
      <c r="B7" s="47" t="s">
        <v>273</v>
      </c>
      <c r="C7" s="50" t="s">
        <v>274</v>
      </c>
      <c r="D7" s="48">
        <v>2</v>
      </c>
      <c r="E7" s="48" t="str">
        <f>IFERROR(VLOOKUP(D7,Feuil1!A:B,2,FALSE),"")</f>
        <v>Répétable</v>
      </c>
      <c r="F7" s="62" t="str">
        <f>IFERROR(VLOOKUP(D7,Feuil1!A:C,3,FALSE),"")</f>
        <v>Des politiques de sécurité existent, mais elles sont appliquées manuellement et de façon incohérente selon les équipes.
L’automatisation et le MFA sont encore limités.</v>
      </c>
      <c r="G7" s="33"/>
    </row>
    <row r="8" spans="1:7">
      <c r="B8" s="4"/>
      <c r="C8" s="4"/>
    </row>
    <row r="9" spans="1:7">
      <c r="B9" s="4"/>
      <c r="C9" s="4"/>
    </row>
  </sheetData>
  <customSheetViews>
    <customSheetView guid="{F7C1623B-D7CD-CD4F-BF5C-C85D3815E60B}" scale="185" topLeftCell="A3">
      <selection activeCell="F5" sqref="A1:I7"/>
      <pageMargins left="0.7" right="0.7" top="0.75" bottom="0.75" header="0.3" footer="0.3"/>
      <pageSetup orientation="portrait" horizontalDpi="0" verticalDpi="0"/>
    </customSheetView>
    <customSheetView guid="{CB9281FB-53AC-4498-B6BF-6132B55113AF}" scale="90" topLeftCell="A7">
      <selection activeCell="F5" sqref="F5"/>
      <pageMargins left="0.7" right="0.7" top="0.75" bottom="0.75" header="0.3" footer="0.3"/>
      <pageSetup orientation="portrait" horizontalDpi="0" verticalDpi="0"/>
    </customSheetView>
    <customSheetView guid="{2C165A54-03F4-4551-85C8-E4ED1E664B78}" scale="90" topLeftCell="A7">
      <selection activeCell="F5" sqref="F5"/>
      <pageMargins left="0.7" right="0.7" top="0.75" bottom="0.75" header="0.3" footer="0.3"/>
      <pageSetup orientation="portrait" horizontalDpi="0" verticalDpi="0"/>
    </customSheetView>
  </customSheetViews>
  <conditionalFormatting sqref="D2:D7">
    <cfRule type="containsText" dxfId="124" priority="14" operator="containsText" text="NA">
      <formula>NOT(ISERROR(SEARCH("NA",D2)))</formula>
    </cfRule>
    <cfRule type="containsText" dxfId="123" priority="15" operator="containsText" text="5">
      <formula>NOT(ISERROR(SEARCH("5",D2)))</formula>
    </cfRule>
    <cfRule type="containsText" dxfId="122" priority="16" operator="containsText" text="4">
      <formula>NOT(ISERROR(SEARCH("4",D2)))</formula>
    </cfRule>
    <cfRule type="containsText" dxfId="121" priority="17" operator="containsText" text="3">
      <formula>NOT(ISERROR(SEARCH("3",D2)))</formula>
    </cfRule>
    <cfRule type="containsText" dxfId="120" priority="18" operator="containsText" text="2">
      <formula>NOT(ISERROR(SEARCH("2",D2)))</formula>
    </cfRule>
    <cfRule type="containsText" dxfId="119" priority="19" operator="containsText" text="1">
      <formula>NOT(ISERROR(SEARCH("1",D2)))</formula>
    </cfRule>
  </conditionalFormatting>
  <conditionalFormatting sqref="E2:E7">
    <cfRule type="containsText" dxfId="118" priority="8" operator="containsText" text="Maîtrisé">
      <formula>NOT(ISERROR(SEARCH("Maîtrisé",E2)))</formula>
    </cfRule>
    <cfRule type="containsText" dxfId="117" priority="9" operator="containsText" text="Non applicable">
      <formula>NOT(ISERROR(SEARCH("Non applicable",E2)))</formula>
    </cfRule>
    <cfRule type="containsText" dxfId="116" priority="10" operator="containsText" text="Optimisé">
      <formula>NOT(ISERROR(SEARCH("Optimisé",E2)))</formula>
    </cfRule>
    <cfRule type="containsText" dxfId="115" priority="11" operator="containsText" text="Défini">
      <formula>NOT(ISERROR(SEARCH("Défini",E2)))</formula>
    </cfRule>
    <cfRule type="containsText" dxfId="114" priority="12" operator="containsText" text="Répétable">
      <formula>NOT(ISERROR(SEARCH("Répétable",E2)))</formula>
    </cfRule>
    <cfRule type="containsText" dxfId="113" priority="13" operator="containsText" text="Initiale">
      <formula>NOT(ISERROR(SEARCH("Initiale",E2)))</formula>
    </cfRule>
  </conditionalFormatting>
  <conditionalFormatting sqref="F2:F7">
    <cfRule type="endsWith" dxfId="112" priority="1" operator="endsWith" text="déploiement.">
      <formula>RIGHT(F2,LEN("déploiement."))="déploiement."</formula>
    </cfRule>
    <cfRule type="endsWith" dxfId="111" priority="3" operator="endsWith" text="échelle.">
      <formula>RIGHT(F2,LEN("échelle."))="échelle."</formula>
    </cfRule>
    <cfRule type="beginsWith" dxfId="110" priority="4" operator="beginsWith" text="Les politiques">
      <formula>LEFT(F2,LEN("Les politiques"))="Les politiques"</formula>
    </cfRule>
    <cfRule type="endsWith" dxfId="109" priority="5" operator="endsWith" text="peu organisé.">
      <formula>RIGHT(F2,LEN("peu organisé."))="peu organisé."</formula>
    </cfRule>
    <cfRule type="beginsWith" dxfId="108" priority="6" operator="beginsWith" text="Des politiques">
      <formula>LEFT(F2,LEN("Des politiques"))="Des politiques"</formula>
    </cfRule>
    <cfRule type="endsWith" dxfId="107" priority="7" operator="endsWith" text="cet environnement.">
      <formula>RIGHT(F2,LEN("cet environnement."))="cet environnement."</formula>
    </cfRule>
  </conditionalFormatting>
  <dataValidations count="1">
    <dataValidation type="list" allowBlank="1" showInputMessage="1" showErrorMessage="1" sqref="D2:D7" xr:uid="{2E119D89-B3EF-44C1-9005-01B5560766F2}">
      <formula1>"1,2,3,4,5,NA"</formula1>
    </dataValidation>
  </dataValidation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F4A3-516B-114E-8DEE-ED5FFE5B073B}">
  <dimension ref="A1:G10"/>
  <sheetViews>
    <sheetView zoomScale="90" zoomScaleNormal="90" zoomScaleSheetLayoutView="100" workbookViewId="0">
      <pane ySplit="1" topLeftCell="A4" activePane="bottomLeft" state="frozen"/>
      <selection pane="bottomLeft" activeCell="D2" sqref="D2"/>
    </sheetView>
  </sheetViews>
  <sheetFormatPr baseColWidth="10" defaultColWidth="8.77734375" defaultRowHeight="13.2"/>
  <cols>
    <col min="1" max="1" width="15.77734375" customWidth="1"/>
    <col min="2" max="2" width="37.109375" customWidth="1"/>
    <col min="3" max="3" width="49.21875" customWidth="1"/>
    <col min="4" max="4" width="18.44140625" customWidth="1"/>
    <col min="5" max="5" width="17.88671875" customWidth="1"/>
    <col min="6" max="6" width="67.6640625" customWidth="1"/>
    <col min="7" max="7" width="39.88671875" customWidth="1"/>
  </cols>
  <sheetData>
    <row r="1" spans="1:7" s="8" customFormat="1" ht="35.4" customHeight="1">
      <c r="A1" s="44" t="s">
        <v>4</v>
      </c>
      <c r="B1" s="44" t="s">
        <v>415</v>
      </c>
      <c r="C1" s="44" t="s">
        <v>416</v>
      </c>
      <c r="D1" s="44" t="s">
        <v>101</v>
      </c>
      <c r="E1" s="56" t="s">
        <v>388</v>
      </c>
      <c r="F1" s="56" t="s">
        <v>201</v>
      </c>
      <c r="G1" s="56" t="s">
        <v>202</v>
      </c>
    </row>
    <row r="2" spans="1:7" s="8" customFormat="1" ht="60.6" customHeight="1">
      <c r="A2" s="46" t="s">
        <v>58</v>
      </c>
      <c r="B2" s="50" t="s">
        <v>295</v>
      </c>
      <c r="C2" s="50" t="s">
        <v>296</v>
      </c>
      <c r="D2" s="46">
        <v>4</v>
      </c>
      <c r="E2" s="46" t="str">
        <f>IFERROR(VLOOKUP(D2,Feuil1!A:B,2,FALSE),"")</f>
        <v>Maîtrisé</v>
      </c>
      <c r="F2" s="47" t="str">
        <f>IFERROR(VLOOKUP(D2,Feuil1!A:C,3,FALSE),"")</f>
        <v>La sécurité est centralisée et largement automatisée.
Elle est intégrée dans l’Infrastructure as Code et les pipelines de déploiement.</v>
      </c>
      <c r="G2" s="49"/>
    </row>
    <row r="3" spans="1:7" s="8" customFormat="1" ht="59.4" customHeight="1">
      <c r="A3" s="46" t="s">
        <v>59</v>
      </c>
      <c r="B3" s="50" t="s">
        <v>297</v>
      </c>
      <c r="C3" s="50" t="s">
        <v>298</v>
      </c>
      <c r="D3" s="46">
        <v>3</v>
      </c>
      <c r="E3" s="46" t="str">
        <f>IFERROR(VLOOKUP(D3,Feuil1!A:B,2,FALSE),"")</f>
        <v>Défini</v>
      </c>
      <c r="F3" s="47" t="str">
        <f>IFERROR(VLOOKUP(D3,Feuil1!A:C,3,FALSE),"")</f>
        <v>Les politiques de sécurité sont centralisées et standardisées.
Certaines automatisations apparaissent et des outils de sécurité cloud commencent à être utilisés.</v>
      </c>
      <c r="G3" s="49"/>
    </row>
    <row r="4" spans="1:7" s="8" customFormat="1" ht="58.8" customHeight="1">
      <c r="A4" s="46" t="s">
        <v>60</v>
      </c>
      <c r="B4" s="50" t="s">
        <v>299</v>
      </c>
      <c r="C4" s="50" t="s">
        <v>300</v>
      </c>
      <c r="D4" s="46">
        <v>3</v>
      </c>
      <c r="E4" s="46" t="str">
        <f>IFERROR(VLOOKUP(D4,Feuil1!A:B,2,FALSE),"")</f>
        <v>Défini</v>
      </c>
      <c r="F4" s="47" t="str">
        <f>IFERROR(VLOOKUP(D4,Feuil1!A:C,3,FALSE),"")</f>
        <v>Les politiques de sécurité sont centralisées et standardisées.
Certaines automatisations apparaissent et des outils de sécurité cloud commencent à être utilisés.</v>
      </c>
      <c r="G4" s="49"/>
    </row>
    <row r="5" spans="1:7" s="8" customFormat="1" ht="53.4" customHeight="1">
      <c r="A5" s="46" t="s">
        <v>61</v>
      </c>
      <c r="B5" s="50" t="s">
        <v>301</v>
      </c>
      <c r="C5" s="50" t="s">
        <v>302</v>
      </c>
      <c r="D5" s="46">
        <v>4</v>
      </c>
      <c r="E5" s="46" t="str">
        <f>IFERROR(VLOOKUP(D5,Feuil1!A:B,2,FALSE),"")</f>
        <v>Maîtrisé</v>
      </c>
      <c r="F5" s="47" t="str">
        <f>IFERROR(VLOOKUP(D5,Feuil1!A:C,3,FALSE),"")</f>
        <v>La sécurité est centralisée et largement automatisée.
Elle est intégrée dans l’Infrastructure as Code et les pipelines de déploiement.</v>
      </c>
      <c r="G5" s="49"/>
    </row>
    <row r="6" spans="1:7" s="8" customFormat="1" ht="64.8" customHeight="1">
      <c r="A6" s="46" t="s">
        <v>62</v>
      </c>
      <c r="B6" s="50" t="s">
        <v>303</v>
      </c>
      <c r="C6" s="50" t="s">
        <v>304</v>
      </c>
      <c r="D6" s="46">
        <v>5</v>
      </c>
      <c r="E6" s="46" t="str">
        <f>IFERROR(VLOOKUP(D6,Feuil1!A:B,2,FALSE),"")</f>
        <v xml:space="preserve">Optimisé </v>
      </c>
      <c r="F6" s="47" t="str">
        <f>IFERROR(VLOOKUP(D6,Feuil1!A:C,3,FALSE),"")</f>
        <v>La sécurité est entièrement intégrée, automatisée et pilotée par des plateformes centralisées.
Les contrôles sont cohérents et appliqués à grande échelle.</v>
      </c>
      <c r="G6" s="49"/>
    </row>
    <row r="7" spans="1:7" s="8" customFormat="1" ht="60" customHeight="1">
      <c r="A7" s="46" t="s">
        <v>63</v>
      </c>
      <c r="B7" s="50" t="s">
        <v>305</v>
      </c>
      <c r="C7" s="50" t="s">
        <v>306</v>
      </c>
      <c r="D7" s="46">
        <v>2</v>
      </c>
      <c r="E7" s="46" t="str">
        <f>IFERROR(VLOOKUP(D7,Feuil1!A:B,2,FALSE),"")</f>
        <v>Répétable</v>
      </c>
      <c r="F7" s="47" t="str">
        <f>IFERROR(VLOOKUP(D7,Feuil1!A:C,3,FALSE),"")</f>
        <v>Des politiques de sécurité existent, mais elles sont appliquées manuellement et de façon incohérente selon les équipes.
L’automatisation et le MFA sont encore limités.</v>
      </c>
      <c r="G7" s="49"/>
    </row>
    <row r="8" spans="1:7" s="8" customFormat="1" ht="57.6" customHeight="1">
      <c r="A8" s="46" t="s">
        <v>64</v>
      </c>
      <c r="B8" s="50" t="s">
        <v>307</v>
      </c>
      <c r="C8" s="50" t="s">
        <v>308</v>
      </c>
      <c r="D8" s="46">
        <v>2</v>
      </c>
      <c r="E8" s="46" t="str">
        <f>IFERROR(VLOOKUP(D8,Feuil1!A:B,2,FALSE),"")</f>
        <v>Répétable</v>
      </c>
      <c r="F8" s="47" t="str">
        <f>IFERROR(VLOOKUP(D8,Feuil1!A:C,3,FALSE),"")</f>
        <v>Des politiques de sécurité existent, mais elles sont appliquées manuellement et de façon incohérente selon les équipes.
L’automatisation et le MFA sont encore limités.</v>
      </c>
      <c r="G8" s="49"/>
    </row>
    <row r="9" spans="1:7" s="8" customFormat="1" ht="57" customHeight="1">
      <c r="A9" s="46" t="s">
        <v>65</v>
      </c>
      <c r="B9" s="50" t="s">
        <v>309</v>
      </c>
      <c r="C9" s="50" t="s">
        <v>310</v>
      </c>
      <c r="D9" s="46">
        <v>3</v>
      </c>
      <c r="E9" s="46" t="str">
        <f>IFERROR(VLOOKUP(D9,Feuil1!A:B,2,FALSE),"")</f>
        <v>Défini</v>
      </c>
      <c r="F9" s="47" t="str">
        <f>IFERROR(VLOOKUP(D9,Feuil1!A:C,3,FALSE),"")</f>
        <v>Les politiques de sécurité sont centralisées et standardisées.
Certaines automatisations apparaissent et des outils de sécurité cloud commencent à être utilisés.</v>
      </c>
      <c r="G9" s="49"/>
    </row>
    <row r="10" spans="1:7">
      <c r="B10" s="4"/>
      <c r="C10" s="4"/>
    </row>
  </sheetData>
  <customSheetViews>
    <customSheetView guid="{F7C1623B-D7CD-CD4F-BF5C-C85D3815E60B}" scale="50" topLeftCell="A2">
      <selection activeCell="D12" sqref="D12"/>
      <pageMargins left="0.7" right="0.7" top="0.75" bottom="0.75" header="0.3" footer="0.3"/>
      <pageSetup orientation="portrait" horizontalDpi="0" verticalDpi="0"/>
    </customSheetView>
    <customSheetView guid="{CB9281FB-53AC-4498-B6BF-6132B55113AF}" scale="80" topLeftCell="A9">
      <selection activeCell="D3" sqref="D3"/>
      <pageMargins left="0.7" right="0.7" top="0.75" bottom="0.75" header="0.3" footer="0.3"/>
      <pageSetup orientation="portrait" horizontalDpi="0" verticalDpi="0"/>
    </customSheetView>
    <customSheetView guid="{2C165A54-03F4-4551-85C8-E4ED1E664B78}" scale="80" topLeftCell="A9">
      <selection activeCell="D3" sqref="D3"/>
      <pageMargins left="0.7" right="0.7" top="0.75" bottom="0.75" header="0.3" footer="0.3"/>
      <pageSetup orientation="portrait" horizontalDpi="0" verticalDpi="0"/>
    </customSheetView>
  </customSheetViews>
  <conditionalFormatting sqref="D2:D9">
    <cfRule type="containsText" dxfId="106" priority="14" operator="containsText" text="NA">
      <formula>NOT(ISERROR(SEARCH("NA",D2)))</formula>
    </cfRule>
    <cfRule type="containsText" dxfId="105" priority="15" operator="containsText" text="5">
      <formula>NOT(ISERROR(SEARCH("5",D2)))</formula>
    </cfRule>
    <cfRule type="containsText" dxfId="104" priority="16" operator="containsText" text="4">
      <formula>NOT(ISERROR(SEARCH("4",D2)))</formula>
    </cfRule>
    <cfRule type="containsText" dxfId="103" priority="17" operator="containsText" text="3">
      <formula>NOT(ISERROR(SEARCH("3",D2)))</formula>
    </cfRule>
    <cfRule type="containsText" dxfId="102" priority="18" operator="containsText" text="2">
      <formula>NOT(ISERROR(SEARCH("2",D2)))</formula>
    </cfRule>
    <cfRule type="containsText" dxfId="101" priority="19" operator="containsText" text="1">
      <formula>NOT(ISERROR(SEARCH("1",D2)))</formula>
    </cfRule>
  </conditionalFormatting>
  <conditionalFormatting sqref="E2:E9">
    <cfRule type="beginsWith" dxfId="100" priority="7" operator="beginsWith" text="Maîtrisé">
      <formula>LEFT(E2,LEN("Maîtrisé"))="Maîtrisé"</formula>
    </cfRule>
    <cfRule type="beginsWith" dxfId="99" priority="9" operator="beginsWith" text="Optimisé">
      <formula>LEFT(E2,LEN("Optimisé"))="Optimisé"</formula>
    </cfRule>
    <cfRule type="containsText" dxfId="98" priority="10" operator="containsText" text="Non applicable">
      <formula>NOT(ISERROR(SEARCH("Non applicable",E2)))</formula>
    </cfRule>
    <cfRule type="containsText" dxfId="97" priority="11" operator="containsText" text="Défini">
      <formula>NOT(ISERROR(SEARCH("Défini",E2)))</formula>
    </cfRule>
    <cfRule type="beginsWith" dxfId="96" priority="12" operator="beginsWith" text="Répétable">
      <formula>LEFT(E2,LEN("Répétable"))="Répétable"</formula>
    </cfRule>
    <cfRule type="beginsWith" dxfId="95" priority="13" operator="beginsWith" text="Initiale">
      <formula>LEFT(E2,LEN("Initiale"))="Initiale"</formula>
    </cfRule>
  </conditionalFormatting>
  <conditionalFormatting sqref="F2:F9">
    <cfRule type="endsWith" dxfId="94" priority="1" operator="endsWith" text="échelle.">
      <formula>RIGHT(F2,LEN("échelle."))="échelle."</formula>
    </cfRule>
    <cfRule type="containsText" dxfId="93" priority="2" operator="containsText" text="Des politiques">
      <formula>NOT(ISERROR(SEARCH("Des politiques",F2)))</formula>
    </cfRule>
    <cfRule type="endsWith" dxfId="92" priority="3" operator="endsWith" text="cet environnement.">
      <formula>RIGHT(F2,LEN("cet environnement."))="cet environnement."</formula>
    </cfRule>
    <cfRule type="beginsWith" dxfId="91" priority="4" operator="beginsWith" text="La sécurité">
      <formula>LEFT(F2,LEN("La sécurité"))="La sécurité"</formula>
    </cfRule>
    <cfRule type="beginsWith" dxfId="90" priority="5" operator="beginsWith" text="Les politiques">
      <formula>LEFT(F2,LEN("Les politiques"))="Les politiques"</formula>
    </cfRule>
    <cfRule type="endsWith" dxfId="89" priority="6" operator="endsWith" text="peu organisé.">
      <formula>RIGHT(F2,LEN("peu organisé."))="peu organisé."</formula>
    </cfRule>
  </conditionalFormatting>
  <dataValidations count="1">
    <dataValidation type="list" allowBlank="1" showInputMessage="1" showErrorMessage="1" sqref="D2:D9" xr:uid="{17FA8AE4-F6C5-4BA7-B1D7-A041AA6A7691}">
      <formula1>"1,2,3,4,5,NA"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E8F6-3879-D644-B97D-C20E1354995F}">
  <dimension ref="A1:G7"/>
  <sheetViews>
    <sheetView zoomScale="90" zoomScaleNormal="90" zoomScaleSheetLayoutView="100" workbookViewId="0">
      <pane ySplit="1" topLeftCell="A5" activePane="bottomLeft" state="frozen"/>
      <selection pane="bottomLeft" activeCell="C1" sqref="C1"/>
    </sheetView>
  </sheetViews>
  <sheetFormatPr baseColWidth="10" defaultColWidth="8.77734375" defaultRowHeight="14.4"/>
  <cols>
    <col min="1" max="1" width="15.77734375" style="6" customWidth="1"/>
    <col min="2" max="2" width="41" style="6" customWidth="1"/>
    <col min="3" max="3" width="64.88671875" style="6" customWidth="1"/>
    <col min="4" max="4" width="17.21875" style="6" customWidth="1"/>
    <col min="5" max="5" width="12.88671875" style="6" customWidth="1"/>
    <col min="6" max="6" width="56.5546875" style="6" customWidth="1"/>
    <col min="7" max="7" width="58.33203125" style="6" customWidth="1"/>
    <col min="8" max="16384" width="8.77734375" style="6"/>
  </cols>
  <sheetData>
    <row r="1" spans="1:7" s="7" customFormat="1" ht="42" customHeight="1">
      <c r="A1" s="44" t="s">
        <v>4</v>
      </c>
      <c r="B1" s="44" t="s">
        <v>415</v>
      </c>
      <c r="C1" s="44" t="s">
        <v>416</v>
      </c>
      <c r="D1" s="57" t="s">
        <v>101</v>
      </c>
      <c r="E1" s="57" t="s">
        <v>388</v>
      </c>
      <c r="F1" s="57" t="s">
        <v>201</v>
      </c>
      <c r="G1" s="57" t="s">
        <v>202</v>
      </c>
    </row>
    <row r="2" spans="1:7" ht="124.2" customHeight="1">
      <c r="A2" s="49" t="s">
        <v>66</v>
      </c>
      <c r="B2" s="49" t="s">
        <v>330</v>
      </c>
      <c r="C2" s="49" t="s">
        <v>331</v>
      </c>
      <c r="D2" s="58">
        <v>1</v>
      </c>
      <c r="E2" s="58" t="str">
        <f>IFERROR(VLOOKUP(D2,Feuil1!A:B,2,FALSE),"")</f>
        <v>Initiale</v>
      </c>
      <c r="F2" s="66" t="str">
        <f>IFERROR(VLOOKUP(D2,Feuil1!A:C,3,FALSE),"")</f>
        <v>La sécurité est gérée manuellement et de manière non structurée.
Peu d’utilisation des fonctionnalités avancées du cloud et IAM peu organisé.</v>
      </c>
      <c r="G2" s="65"/>
    </row>
    <row r="3" spans="1:7" ht="96.6" customHeight="1">
      <c r="A3" s="49" t="s">
        <v>67</v>
      </c>
      <c r="B3" s="49" t="s">
        <v>332</v>
      </c>
      <c r="C3" s="49" t="s">
        <v>333</v>
      </c>
      <c r="D3" s="58">
        <v>5</v>
      </c>
      <c r="E3" s="58" t="str">
        <f>IFERROR(VLOOKUP(D3,Feuil1!A:B,2,FALSE),"")</f>
        <v xml:space="preserve">Optimisé </v>
      </c>
      <c r="F3" s="66" t="str">
        <f>IFERROR(VLOOKUP(D3,Feuil1!A:C,3,FALSE),"")</f>
        <v>La sécurité est entièrement intégrée, automatisée et pilotée par des plateformes centralisées.
Les contrôles sont cohérents et appliqués à grande échelle.</v>
      </c>
      <c r="G3" s="65"/>
    </row>
    <row r="4" spans="1:7" ht="97.2" customHeight="1">
      <c r="A4" s="49" t="s">
        <v>68</v>
      </c>
      <c r="B4" s="49" t="s">
        <v>334</v>
      </c>
      <c r="C4" s="49" t="s">
        <v>335</v>
      </c>
      <c r="D4" s="58">
        <v>4</v>
      </c>
      <c r="E4" s="58" t="str">
        <f>IFERROR(VLOOKUP(D4,Feuil1!A:B,2,FALSE),"")</f>
        <v>Maîtrisé</v>
      </c>
      <c r="F4" s="66" t="str">
        <f>IFERROR(VLOOKUP(D4,Feuil1!A:C,3,FALSE),"")</f>
        <v>La sécurité est centralisée et largement automatisée.
Elle est intégrée dans l’Infrastructure as Code et les pipelines de déploiement.</v>
      </c>
      <c r="G4" s="65"/>
    </row>
    <row r="5" spans="1:7" ht="109.2" customHeight="1">
      <c r="A5" s="49" t="s">
        <v>69</v>
      </c>
      <c r="B5" s="49" t="s">
        <v>336</v>
      </c>
      <c r="C5" s="49" t="s">
        <v>337</v>
      </c>
      <c r="D5" s="58">
        <v>3</v>
      </c>
      <c r="E5" s="58" t="str">
        <f>IFERROR(VLOOKUP(D5,Feuil1!A:B,2,FALSE),"")</f>
        <v>Défini</v>
      </c>
      <c r="F5" s="66" t="str">
        <f>IFERROR(VLOOKUP(D5,Feuil1!A:C,3,FALSE),"")</f>
        <v>Les politiques de sécurité sont centralisées et standardisées.
Certaines automatisations apparaissent et des outils de sécurité cloud commencent à être utilisés.</v>
      </c>
      <c r="G5" s="65"/>
    </row>
    <row r="6" spans="1:7" ht="111" customHeight="1">
      <c r="A6" s="49" t="s">
        <v>70</v>
      </c>
      <c r="B6" s="49" t="s">
        <v>338</v>
      </c>
      <c r="C6" s="49" t="s">
        <v>339</v>
      </c>
      <c r="D6" s="58">
        <v>2</v>
      </c>
      <c r="E6" s="58" t="str">
        <f>IFERROR(VLOOKUP(D6,Feuil1!A:B,2,FALSE),"")</f>
        <v>Répétable</v>
      </c>
      <c r="F6" s="66" t="str">
        <f>IFERROR(VLOOKUP(D6,Feuil1!A:C,3,FALSE),"")</f>
        <v>Des politiques de sécurité existent, mais elles sont appliquées manuellement et de façon incohérente selon les équipes.
L’automatisation et le MFA sont encore limités.</v>
      </c>
      <c r="G6" s="65"/>
    </row>
    <row r="7" spans="1:7" ht="95.4" customHeight="1">
      <c r="A7" s="49" t="s">
        <v>71</v>
      </c>
      <c r="B7" s="49" t="s">
        <v>340</v>
      </c>
      <c r="C7" s="49" t="s">
        <v>341</v>
      </c>
      <c r="D7" s="58">
        <v>3</v>
      </c>
      <c r="E7" s="58" t="str">
        <f>IFERROR(VLOOKUP(D7,Feuil1!A:B,2,FALSE),"")</f>
        <v>Défini</v>
      </c>
      <c r="F7" s="66" t="str">
        <f>IFERROR(VLOOKUP(D7,Feuil1!A:C,3,FALSE),"")</f>
        <v>Les politiques de sécurité sont centralisées et standardisées.
Certaines automatisations apparaissent et des outils de sécurité cloud commencent à être utilisés.</v>
      </c>
      <c r="G7" s="65"/>
    </row>
  </sheetData>
  <customSheetViews>
    <customSheetView guid="{F7C1623B-D7CD-CD4F-BF5C-C85D3815E60B}" scale="185" topLeftCell="A4">
      <selection sqref="A1:I7"/>
      <pageMargins left="0.7" right="0.7" top="0.75" bottom="0.75" header="0.3" footer="0.3"/>
      <pageSetup orientation="portrait" horizontalDpi="0" verticalDpi="0"/>
    </customSheetView>
    <customSheetView guid="{CB9281FB-53AC-4498-B6BF-6132B55113AF}" scale="120" topLeftCell="A7">
      <selection activeCell="E7" sqref="E7"/>
      <pageMargins left="0.7" right="0.7" top="0.75" bottom="0.75" header="0.3" footer="0.3"/>
      <pageSetup orientation="portrait" horizontalDpi="0" verticalDpi="0"/>
    </customSheetView>
    <customSheetView guid="{2C165A54-03F4-4551-85C8-E4ED1E664B78}" scale="90">
      <pane ySplit="1" topLeftCell="A2" activePane="bottomLeft" state="frozen"/>
      <selection pane="bottomLeft" activeCell="B3" sqref="B3"/>
      <pageMargins left="0.7" right="0.7" top="0.75" bottom="0.75" header="0.3" footer="0.3"/>
      <pageSetup orientation="portrait" horizontalDpi="0" verticalDpi="0"/>
    </customSheetView>
  </customSheetViews>
  <conditionalFormatting sqref="D2:D7">
    <cfRule type="containsText" dxfId="88" priority="13" operator="containsText" text="NA">
      <formula>NOT(ISERROR(SEARCH("NA",D2)))</formula>
    </cfRule>
    <cfRule type="containsText" dxfId="87" priority="14" operator="containsText" text="5">
      <formula>NOT(ISERROR(SEARCH("5",D2)))</formula>
    </cfRule>
    <cfRule type="containsText" dxfId="86" priority="15" operator="containsText" text="4">
      <formula>NOT(ISERROR(SEARCH("4",D2)))</formula>
    </cfRule>
    <cfRule type="containsText" dxfId="85" priority="16" operator="containsText" text="3">
      <formula>NOT(ISERROR(SEARCH("3",D2)))</formula>
    </cfRule>
    <cfRule type="containsText" dxfId="84" priority="17" operator="containsText" text="2">
      <formula>NOT(ISERROR(SEARCH("2",D2)))</formula>
    </cfRule>
    <cfRule type="containsText" dxfId="83" priority="18" operator="containsText" text="1">
      <formula>NOT(ISERROR(SEARCH("1",D2)))</formula>
    </cfRule>
  </conditionalFormatting>
  <conditionalFormatting sqref="E2:E7">
    <cfRule type="beginsWith" dxfId="82" priority="7" operator="beginsWith" text="Optimisé">
      <formula>LEFT(E2,LEN("Optimisé"))="Optimisé"</formula>
    </cfRule>
    <cfRule type="beginsWith" dxfId="81" priority="8" operator="beginsWith" text="Non Applicable">
      <formula>LEFT(E2,LEN("Non Applicable"))="Non Applicable"</formula>
    </cfRule>
    <cfRule type="beginsWith" dxfId="80" priority="9" operator="beginsWith" text="Maîtrisé">
      <formula>LEFT(E2,LEN("Maîtrisé"))="Maîtrisé"</formula>
    </cfRule>
    <cfRule type="beginsWith" dxfId="79" priority="10" operator="beginsWith" text="Défini">
      <formula>LEFT(E2,LEN("Défini"))="Défini"</formula>
    </cfRule>
    <cfRule type="beginsWith" dxfId="78" priority="11" operator="beginsWith" text="Répétable">
      <formula>LEFT(E2,LEN("Répétable"))="Répétable"</formula>
    </cfRule>
    <cfRule type="beginsWith" dxfId="77" priority="12" operator="beginsWith" text="Initiale">
      <formula>LEFT(E2,LEN("Initiale"))="Initiale"</formula>
    </cfRule>
  </conditionalFormatting>
  <conditionalFormatting sqref="F2:F7">
    <cfRule type="endsWith" dxfId="76" priority="1" operator="endsWith" text="déploiement.">
      <formula>RIGHT(F2,LEN("déploiement."))="déploiement."</formula>
    </cfRule>
    <cfRule type="endsWith" dxfId="75" priority="2" operator="endsWith" text="peu organisé.">
      <formula>RIGHT(F2,LEN("peu organisé."))="peu organisé."</formula>
    </cfRule>
    <cfRule type="endsWith" dxfId="74" priority="3" operator="endsWith" text="cet environnement.">
      <formula>RIGHT(F2,LEN("cet environnement."))="cet environnement."</formula>
    </cfRule>
    <cfRule type="beginsWith" dxfId="73" priority="4" operator="beginsWith" text="Les politiques">
      <formula>LEFT(F2,LEN("Les politiques"))="Les politiques"</formula>
    </cfRule>
    <cfRule type="beginsWith" dxfId="72" priority="5" operator="beginsWith" text="La sécurité">
      <formula>LEFT(F2,LEN("La sécurité"))="La sécurité"</formula>
    </cfRule>
    <cfRule type="beginsWith" dxfId="71" priority="6" operator="beginsWith" text="Des politiques">
      <formula>LEFT(F2,LEN("Des politiques"))="Des politiques"</formula>
    </cfRule>
  </conditionalFormatting>
  <dataValidations count="1">
    <dataValidation type="list" allowBlank="1" showInputMessage="1" showErrorMessage="1" sqref="D2:D7" xr:uid="{D3722E75-3AEE-4247-9D27-F223E7539797}">
      <formula1>"1,2,3,4,5,NA"</formula1>
    </dataValidation>
  </dataValidation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AB513-AB94-4249-9807-1889724A78F4}">
  <dimension ref="A1:G9"/>
  <sheetViews>
    <sheetView zoomScale="90" zoomScaleNormal="90" zoomScaleSheetLayoutView="100" workbookViewId="0">
      <pane ySplit="1" topLeftCell="A7" activePane="bottomLeft" state="frozen"/>
      <selection pane="bottomLeft" activeCell="E2" sqref="E2:E9"/>
    </sheetView>
  </sheetViews>
  <sheetFormatPr baseColWidth="10" defaultColWidth="8.77734375" defaultRowHeight="14.4"/>
  <cols>
    <col min="1" max="1" width="15.77734375" style="6" customWidth="1"/>
    <col min="2" max="2" width="32.77734375" style="6" customWidth="1"/>
    <col min="3" max="3" width="44.44140625" style="6" customWidth="1"/>
    <col min="4" max="4" width="14" style="6" customWidth="1"/>
    <col min="5" max="5" width="14.6640625" style="6" customWidth="1"/>
    <col min="6" max="6" width="63.5546875" style="6" customWidth="1"/>
    <col min="7" max="7" width="53.6640625" style="6" customWidth="1"/>
    <col min="8" max="16384" width="8.77734375" style="6"/>
  </cols>
  <sheetData>
    <row r="1" spans="1:7" s="7" customFormat="1" ht="37.200000000000003" customHeight="1">
      <c r="A1" s="44" t="s">
        <v>4</v>
      </c>
      <c r="B1" s="44" t="s">
        <v>415</v>
      </c>
      <c r="C1" s="44" t="s">
        <v>416</v>
      </c>
      <c r="D1" s="57" t="s">
        <v>101</v>
      </c>
      <c r="E1" s="57" t="s">
        <v>388</v>
      </c>
      <c r="F1" s="57" t="s">
        <v>201</v>
      </c>
      <c r="G1" s="57" t="s">
        <v>202</v>
      </c>
    </row>
    <row r="2" spans="1:7" ht="82.8">
      <c r="A2" s="46" t="s">
        <v>79</v>
      </c>
      <c r="B2" s="47" t="s">
        <v>342</v>
      </c>
      <c r="C2" s="47" t="s">
        <v>343</v>
      </c>
      <c r="D2" s="58">
        <v>3</v>
      </c>
      <c r="E2" s="58" t="str">
        <f>IFERROR(VLOOKUP(D2,Feuil1!A:B,2,FALSE),"")</f>
        <v>Défini</v>
      </c>
      <c r="F2" s="66" t="str">
        <f>IFERROR(VLOOKUP(D2,Feuil1!A:C,3,FALSE),"")</f>
        <v>Les politiques de sécurité sont centralisées et standardisées.
Certaines automatisations apparaissent et des outils de sécurité cloud commencent à être utilisés.</v>
      </c>
      <c r="G2" s="65"/>
    </row>
    <row r="3" spans="1:7" ht="93.6" customHeight="1">
      <c r="A3" s="46" t="s">
        <v>78</v>
      </c>
      <c r="B3" s="47" t="s">
        <v>344</v>
      </c>
      <c r="C3" s="47" t="s">
        <v>345</v>
      </c>
      <c r="D3" s="58">
        <v>1</v>
      </c>
      <c r="E3" s="58" t="str">
        <f>IFERROR(VLOOKUP(D3,Feuil1!A:B,2,FALSE),"")</f>
        <v>Initiale</v>
      </c>
      <c r="F3" s="66" t="str">
        <f>IFERROR(VLOOKUP(D3,Feuil1!A:C,3,FALSE),"")</f>
        <v>La sécurité est gérée manuellement et de manière non structurée.
Peu d’utilisation des fonctionnalités avancées du cloud et IAM peu organisé.</v>
      </c>
      <c r="G3" s="65"/>
    </row>
    <row r="4" spans="1:7" ht="94.2" customHeight="1">
      <c r="A4" s="46" t="s">
        <v>77</v>
      </c>
      <c r="B4" s="47" t="s">
        <v>346</v>
      </c>
      <c r="C4" s="47" t="s">
        <v>347</v>
      </c>
      <c r="D4" s="58">
        <v>5</v>
      </c>
      <c r="E4" s="58" t="str">
        <f>IFERROR(VLOOKUP(D4,Feuil1!A:B,2,FALSE),"")</f>
        <v xml:space="preserve">Optimisé </v>
      </c>
      <c r="F4" s="66" t="str">
        <f>IFERROR(VLOOKUP(D4,Feuil1!A:C,3,FALSE),"")</f>
        <v>La sécurité est entièrement intégrée, automatisée et pilotée par des plateformes centralisées.
Les contrôles sont cohérents et appliqués à grande échelle.</v>
      </c>
      <c r="G4" s="65"/>
    </row>
    <row r="5" spans="1:7" ht="165.6">
      <c r="A5" s="46" t="s">
        <v>76</v>
      </c>
      <c r="B5" s="47" t="s">
        <v>5</v>
      </c>
      <c r="C5" s="47" t="s">
        <v>99</v>
      </c>
      <c r="D5" s="58">
        <v>4</v>
      </c>
      <c r="E5" s="58" t="str">
        <f>IFERROR(VLOOKUP(D5,Feuil1!A:B,2,FALSE),"")</f>
        <v>Maîtrisé</v>
      </c>
      <c r="F5" s="66" t="str">
        <f>IFERROR(VLOOKUP(D5,Feuil1!A:C,3,FALSE),"")</f>
        <v>La sécurité est centralisée et largement automatisée.
Elle est intégrée dans l’Infrastructure as Code et les pipelines de déploiement.</v>
      </c>
      <c r="G5" s="65"/>
    </row>
    <row r="6" spans="1:7" ht="95.4" customHeight="1">
      <c r="A6" s="46" t="s">
        <v>75</v>
      </c>
      <c r="B6" s="47" t="s">
        <v>348</v>
      </c>
      <c r="C6" s="47" t="s">
        <v>349</v>
      </c>
      <c r="D6" s="58">
        <v>2</v>
      </c>
      <c r="E6" s="58" t="str">
        <f>IFERROR(VLOOKUP(D6,Feuil1!A:B,2,FALSE),"")</f>
        <v>Répétable</v>
      </c>
      <c r="F6" s="66" t="str">
        <f>IFERROR(VLOOKUP(D6,Feuil1!A:C,3,FALSE),"")</f>
        <v>Des politiques de sécurité existent, mais elles sont appliquées manuellement et de façon incohérente selon les équipes.
L’automatisation et le MFA sont encore limités.</v>
      </c>
      <c r="G6" s="65"/>
    </row>
    <row r="7" spans="1:7" ht="78.599999999999994" customHeight="1">
      <c r="A7" s="46" t="s">
        <v>74</v>
      </c>
      <c r="B7" s="47" t="s">
        <v>350</v>
      </c>
      <c r="C7" s="47" t="s">
        <v>351</v>
      </c>
      <c r="D7" s="58">
        <v>2</v>
      </c>
      <c r="E7" s="58" t="str">
        <f>IFERROR(VLOOKUP(D7,Feuil1!A:B,2,FALSE),"")</f>
        <v>Répétable</v>
      </c>
      <c r="F7" s="66" t="str">
        <f>IFERROR(VLOOKUP(D7,Feuil1!A:C,3,FALSE),"")</f>
        <v>Des politiques de sécurité existent, mais elles sont appliquées manuellement et de façon incohérente selon les équipes.
L’automatisation et le MFA sont encore limités.</v>
      </c>
      <c r="G7" s="65"/>
    </row>
    <row r="8" spans="1:7" ht="95.4" customHeight="1">
      <c r="A8" s="46" t="s">
        <v>73</v>
      </c>
      <c r="B8" s="47" t="s">
        <v>352</v>
      </c>
      <c r="C8" s="47" t="s">
        <v>353</v>
      </c>
      <c r="D8" s="58">
        <v>3</v>
      </c>
      <c r="E8" s="58" t="str">
        <f>IFERROR(VLOOKUP(D8,Feuil1!A:B,2,FALSE),"")</f>
        <v>Défini</v>
      </c>
      <c r="F8" s="66" t="str">
        <f>IFERROR(VLOOKUP(D8,Feuil1!A:C,3,FALSE),"")</f>
        <v>Les politiques de sécurité sont centralisées et standardisées.
Certaines automatisations apparaissent et des outils de sécurité cloud commencent à être utilisés.</v>
      </c>
      <c r="G8" s="65"/>
    </row>
    <row r="9" spans="1:7" ht="100.2" customHeight="1">
      <c r="A9" s="46" t="s">
        <v>72</v>
      </c>
      <c r="B9" s="47" t="s">
        <v>354</v>
      </c>
      <c r="C9" s="47" t="s">
        <v>355</v>
      </c>
      <c r="D9" s="58">
        <v>4</v>
      </c>
      <c r="E9" s="58" t="str">
        <f>IFERROR(VLOOKUP(D9,Feuil1!A:B,2,FALSE),"")</f>
        <v>Maîtrisé</v>
      </c>
      <c r="F9" s="66" t="str">
        <f>IFERROR(VLOOKUP(D9,Feuil1!A:C,3,FALSE),"")</f>
        <v>La sécurité est centralisée et largement automatisée.
Elle est intégrée dans l’Infrastructure as Code et les pipelines de déploiement.</v>
      </c>
      <c r="G9" s="65"/>
    </row>
  </sheetData>
  <customSheetViews>
    <customSheetView guid="{F7C1623B-D7CD-CD4F-BF5C-C85D3815E60B}" scale="185" topLeftCell="A6">
      <selection activeCell="D8" sqref="A1:I9"/>
      <pageMargins left="0.7" right="0.7" top="0.75" bottom="0.75" header="0.3" footer="0.3"/>
      <pageSetup orientation="portrait" horizontalDpi="0" verticalDpi="0"/>
    </customSheetView>
    <customSheetView guid="{CB9281FB-53AC-4498-B6BF-6132B55113AF}" scale="130" topLeftCell="A8">
      <selection activeCell="F9" sqref="F9"/>
      <pageMargins left="0.7" right="0.7" top="0.75" bottom="0.75" header="0.3" footer="0.3"/>
      <pageSetup orientation="portrait" horizontalDpi="0" verticalDpi="0"/>
    </customSheetView>
    <customSheetView guid="{2C165A54-03F4-4551-85C8-E4ED1E664B78}" scale="90">
      <pane ySplit="1" topLeftCell="A2" activePane="bottomLeft" state="frozen"/>
      <selection pane="bottomLeft" activeCell="B3" sqref="B3"/>
      <pageMargins left="0.7" right="0.7" top="0.75" bottom="0.75" header="0.3" footer="0.3"/>
      <pageSetup orientation="portrait" horizontalDpi="0" verticalDpi="0"/>
    </customSheetView>
  </customSheetViews>
  <phoneticPr fontId="3" alignment="center"/>
  <conditionalFormatting sqref="D2:D9">
    <cfRule type="containsText" dxfId="70" priority="13" operator="containsText" text="NA">
      <formula>NOT(ISERROR(SEARCH("NA",D2)))</formula>
    </cfRule>
    <cfRule type="containsText" dxfId="69" priority="14" operator="containsText" text="5">
      <formula>NOT(ISERROR(SEARCH("5",D2)))</formula>
    </cfRule>
    <cfRule type="containsText" dxfId="68" priority="15" operator="containsText" text="4">
      <formula>NOT(ISERROR(SEARCH("4",D2)))</formula>
    </cfRule>
    <cfRule type="containsText" dxfId="67" priority="16" operator="containsText" text="3">
      <formula>NOT(ISERROR(SEARCH("3",D2)))</formula>
    </cfRule>
    <cfRule type="containsText" dxfId="66" priority="17" operator="containsText" text="2">
      <formula>NOT(ISERROR(SEARCH("2",D2)))</formula>
    </cfRule>
    <cfRule type="containsText" dxfId="65" priority="18" operator="containsText" text="1">
      <formula>NOT(ISERROR(SEARCH("1",D2)))</formula>
    </cfRule>
  </conditionalFormatting>
  <conditionalFormatting sqref="E2:E9">
    <cfRule type="beginsWith" priority="7" operator="beginsWith" text="Optimisé">
      <formula>LEFT(E2,LEN("Optimisé"))="Optimisé"</formula>
    </cfRule>
    <cfRule type="beginsWith" dxfId="64" priority="8" operator="beginsWith" text="Non applicable">
      <formula>LEFT(E2,LEN("Non applicable"))="Non applicable"</formula>
    </cfRule>
    <cfRule type="beginsWith" dxfId="63" priority="9" operator="beginsWith" text="Maîtrisé">
      <formula>LEFT(E2,LEN("Maîtrisé"))="Maîtrisé"</formula>
    </cfRule>
    <cfRule type="beginsWith" dxfId="62" priority="10" operator="beginsWith" text="Défini">
      <formula>LEFT(E2,LEN("Défini"))="Défini"</formula>
    </cfRule>
    <cfRule type="beginsWith" dxfId="61" priority="11" operator="beginsWith" text="Intiale">
      <formula>LEFT(E2,LEN("Intiale"))="Intiale"</formula>
    </cfRule>
    <cfRule type="beginsWith" dxfId="60" priority="12" operator="beginsWith" text="Répétable">
      <formula>LEFT(E2,LEN("Répétable"))="Répétable"</formula>
    </cfRule>
  </conditionalFormatting>
  <conditionalFormatting sqref="F2:F9">
    <cfRule type="beginsWith" dxfId="59" priority="1" operator="beginsWith" text="Les politiques">
      <formula>LEFT(F2,LEN("Les politiques"))="Les politiques"</formula>
    </cfRule>
    <cfRule type="endsWith" dxfId="58" priority="2" operator="endsWith" text="peu organisé.">
      <formula>RIGHT(F2,LEN("peu organisé."))="peu organisé."</formula>
    </cfRule>
    <cfRule type="beginsWith" dxfId="57" priority="3" operator="beginsWith" text="cet environnement.">
      <formula>LEFT(F2,LEN("cet environnement."))="cet environnement."</formula>
    </cfRule>
    <cfRule type="endsWith" dxfId="56" priority="4" operator="endsWith" text="échelle.">
      <formula>RIGHT(F2,LEN("échelle."))="échelle."</formula>
    </cfRule>
    <cfRule type="endsWith" dxfId="55" priority="5" operator="endsWith" text="déploiement.">
      <formula>RIGHT(F2,LEN("déploiement."))="déploiement."</formula>
    </cfRule>
    <cfRule type="beginsWith" dxfId="54" priority="6" operator="beginsWith" text="Des politiques">
      <formula>LEFT(F2,LEN("Des politiques"))="Des politiques"</formula>
    </cfRule>
  </conditionalFormatting>
  <dataValidations count="1">
    <dataValidation type="list" allowBlank="1" showInputMessage="1" showErrorMessage="1" sqref="D2:D9" xr:uid="{EC876450-D2A1-4077-89F6-BEA6E076DBC9}">
      <formula1>"1,2,3,4,5,NA"</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AF96-E8D6-B648-A261-363AEA5C8435}">
  <dimension ref="A1:G11"/>
  <sheetViews>
    <sheetView zoomScale="90" zoomScaleNormal="90" zoomScaleSheetLayoutView="100" workbookViewId="0">
      <pane ySplit="1" topLeftCell="A4" activePane="bottomLeft" state="frozen"/>
      <selection pane="bottomLeft" activeCell="C1" sqref="C1"/>
    </sheetView>
  </sheetViews>
  <sheetFormatPr baseColWidth="10" defaultColWidth="8.77734375" defaultRowHeight="13.2"/>
  <cols>
    <col min="1" max="1" width="15.77734375" customWidth="1"/>
    <col min="2" max="2" width="40.6640625" customWidth="1"/>
    <col min="3" max="3" width="62.21875" customWidth="1"/>
    <col min="4" max="4" width="14.109375" customWidth="1"/>
    <col min="5" max="5" width="18" customWidth="1"/>
    <col min="6" max="6" width="79" customWidth="1"/>
    <col min="7" max="7" width="59.109375" customWidth="1"/>
  </cols>
  <sheetData>
    <row r="1" spans="1:7" s="7" customFormat="1" ht="40.200000000000003" customHeight="1">
      <c r="A1" s="44" t="s">
        <v>4</v>
      </c>
      <c r="B1" s="44" t="s">
        <v>415</v>
      </c>
      <c r="C1" s="44" t="s">
        <v>416</v>
      </c>
      <c r="D1" s="57" t="s">
        <v>101</v>
      </c>
      <c r="E1" s="57" t="s">
        <v>388</v>
      </c>
      <c r="F1" s="57" t="s">
        <v>201</v>
      </c>
      <c r="G1" s="57" t="s">
        <v>202</v>
      </c>
    </row>
    <row r="2" spans="1:7" ht="111" customHeight="1">
      <c r="A2" s="47" t="s">
        <v>93</v>
      </c>
      <c r="B2" s="47" t="s">
        <v>356</v>
      </c>
      <c r="C2" s="49" t="s">
        <v>357</v>
      </c>
      <c r="D2" s="48">
        <v>5</v>
      </c>
      <c r="E2" s="48" t="str">
        <f>IFERROR(VLOOKUP(D2,Feuil1!A:B,2,FALSE),"")</f>
        <v xml:space="preserve">Optimisé </v>
      </c>
      <c r="F2" s="61" t="str">
        <f>IFERROR(VLOOKUP(D2,Feuil1!A:C,3,FALSE),"")</f>
        <v>La sécurité est entièrement intégrée, automatisée et pilotée par des plateformes centralisées.
Les contrôles sont cohérents et appliqués à grande échelle.</v>
      </c>
      <c r="G2" s="33"/>
    </row>
    <row r="3" spans="1:7" ht="93" customHeight="1">
      <c r="A3" s="47" t="s">
        <v>92</v>
      </c>
      <c r="B3" s="47" t="s">
        <v>358</v>
      </c>
      <c r="C3" s="49" t="s">
        <v>359</v>
      </c>
      <c r="D3" s="48">
        <v>2</v>
      </c>
      <c r="E3" s="48" t="str">
        <f>IFERROR(VLOOKUP(D3,Feuil1!A:B,2,FALSE),"")</f>
        <v>Répétable</v>
      </c>
      <c r="F3" s="61" t="str">
        <f>IFERROR(VLOOKUP(D3,Feuil1!A:C,3,FALSE),"")</f>
        <v>Des politiques de sécurité existent, mais elles sont appliquées manuellement et de façon incohérente selon les équipes.
L’automatisation et le MFA sont encore limités.</v>
      </c>
      <c r="G3" s="33"/>
    </row>
    <row r="4" spans="1:7" ht="69">
      <c r="A4" s="46" t="s">
        <v>91</v>
      </c>
      <c r="B4" s="47" t="s">
        <v>360</v>
      </c>
      <c r="C4" s="49" t="s">
        <v>361</v>
      </c>
      <c r="D4" s="48">
        <v>3</v>
      </c>
      <c r="E4" s="48" t="str">
        <f>IFERROR(VLOOKUP(D4,Feuil1!A:B,2,FALSE),"")</f>
        <v>Défini</v>
      </c>
      <c r="F4" s="61" t="str">
        <f>IFERROR(VLOOKUP(D4,Feuil1!A:C,3,FALSE),"")</f>
        <v>Les politiques de sécurité sont centralisées et standardisées.
Certaines automatisations apparaissent et des outils de sécurité cloud commencent à être utilisés.</v>
      </c>
      <c r="G4" s="33"/>
    </row>
    <row r="5" spans="1:7" ht="69">
      <c r="A5" s="46" t="s">
        <v>88</v>
      </c>
      <c r="B5" s="47" t="s">
        <v>362</v>
      </c>
      <c r="C5" s="49" t="s">
        <v>363</v>
      </c>
      <c r="D5" s="48">
        <v>1</v>
      </c>
      <c r="E5" s="48" t="str">
        <f>IFERROR(VLOOKUP(D5,Feuil1!A:B,2,FALSE),"")</f>
        <v>Initiale</v>
      </c>
      <c r="F5" s="61" t="str">
        <f>IFERROR(VLOOKUP(D5,Feuil1!A:C,3,FALSE),"")</f>
        <v>La sécurité est gérée manuellement et de manière non structurée.
Peu d’utilisation des fonctionnalités avancées du cloud et IAM peu organisé.</v>
      </c>
      <c r="G5" s="33"/>
    </row>
    <row r="6" spans="1:7" ht="98.4" customHeight="1">
      <c r="A6" s="46" t="s">
        <v>89</v>
      </c>
      <c r="B6" s="47" t="s">
        <v>364</v>
      </c>
      <c r="C6" s="49" t="s">
        <v>365</v>
      </c>
      <c r="D6" s="48">
        <v>4</v>
      </c>
      <c r="E6" s="48" t="str">
        <f>IFERROR(VLOOKUP(D6,Feuil1!A:B,2,FALSE),"")</f>
        <v>Maîtrisé</v>
      </c>
      <c r="F6" s="61" t="str">
        <f>IFERROR(VLOOKUP(D6,Feuil1!A:C,3,FALSE),"")</f>
        <v>La sécurité est centralisée et largement automatisée.
Elle est intégrée dans l’Infrastructure as Code et les pipelines de déploiement.</v>
      </c>
      <c r="G6" s="33"/>
    </row>
    <row r="7" spans="1:7" ht="94.2" customHeight="1">
      <c r="A7" s="46" t="s">
        <v>90</v>
      </c>
      <c r="B7" s="47" t="s">
        <v>366</v>
      </c>
      <c r="C7" s="49" t="s">
        <v>367</v>
      </c>
      <c r="D7" s="48">
        <v>1</v>
      </c>
      <c r="E7" s="48" t="str">
        <f>IFERROR(VLOOKUP(D7,Feuil1!A:B,2,FALSE),"")</f>
        <v>Initiale</v>
      </c>
      <c r="F7" s="61" t="str">
        <f>IFERROR(VLOOKUP(D7,Feuil1!A:C,3,FALSE),"")</f>
        <v>La sécurité est gérée manuellement et de manière non structurée.
Peu d’utilisation des fonctionnalités avancées du cloud et IAM peu organisé.</v>
      </c>
      <c r="G7" s="33"/>
    </row>
    <row r="8" spans="1:7">
      <c r="B8" s="4"/>
      <c r="C8" s="4"/>
    </row>
    <row r="9" spans="1:7">
      <c r="B9" s="4"/>
      <c r="C9" s="4"/>
    </row>
    <row r="10" spans="1:7">
      <c r="B10" s="4"/>
      <c r="C10" s="4"/>
    </row>
    <row r="11" spans="1:7">
      <c r="B11" s="4"/>
      <c r="C11" s="4"/>
    </row>
  </sheetData>
  <customSheetViews>
    <customSheetView guid="{F7C1623B-D7CD-CD4F-BF5C-C85D3815E60B}" scale="185" topLeftCell="A6">
      <selection activeCell="D7" sqref="A2:I7"/>
      <pageMargins left="0.7" right="0.7" top="0.75" bottom="0.75" header="0.3" footer="0.3"/>
      <pageSetup orientation="portrait" horizontalDpi="0" verticalDpi="0"/>
    </customSheetView>
    <customSheetView guid="{CB9281FB-53AC-4498-B6BF-6132B55113AF}" scale="120" topLeftCell="A7">
      <selection activeCell="D7" sqref="D7"/>
      <pageMargins left="0.7" right="0.7" top="0.75" bottom="0.75" header="0.3" footer="0.3"/>
      <pageSetup orientation="portrait" horizontalDpi="0" verticalDpi="0"/>
    </customSheetView>
    <customSheetView guid="{2C165A54-03F4-4551-85C8-E4ED1E664B78}" scale="90">
      <pane ySplit="1" topLeftCell="A2" activePane="bottomLeft" state="frozen"/>
      <selection pane="bottomLeft" activeCell="B3" sqref="B3"/>
      <pageMargins left="0.7" right="0.7" top="0.75" bottom="0.75" header="0.3" footer="0.3"/>
      <pageSetup orientation="portrait" horizontalDpi="0" verticalDpi="0"/>
    </customSheetView>
  </customSheetViews>
  <conditionalFormatting sqref="D2:D7">
    <cfRule type="containsText" dxfId="53" priority="13" operator="containsText" text="NA">
      <formula>NOT(ISERROR(SEARCH("NA",D2)))</formula>
    </cfRule>
    <cfRule type="containsText" dxfId="52" priority="14" operator="containsText" text="5">
      <formula>NOT(ISERROR(SEARCH("5",D2)))</formula>
    </cfRule>
    <cfRule type="containsText" dxfId="51" priority="15" operator="containsText" text="4">
      <formula>NOT(ISERROR(SEARCH("4",D2)))</formula>
    </cfRule>
    <cfRule type="containsText" dxfId="50" priority="16" operator="containsText" text="3">
      <formula>NOT(ISERROR(SEARCH("3",D2)))</formula>
    </cfRule>
    <cfRule type="containsText" dxfId="49" priority="17" operator="containsText" text="2">
      <formula>NOT(ISERROR(SEARCH("2",D2)))</formula>
    </cfRule>
    <cfRule type="containsText" dxfId="48" priority="18" operator="containsText" text="1">
      <formula>NOT(ISERROR(SEARCH("1",D2)))</formula>
    </cfRule>
  </conditionalFormatting>
  <conditionalFormatting sqref="E2:E7">
    <cfRule type="beginsWith" dxfId="47" priority="7" operator="beginsWith" text="Optimisé">
      <formula>LEFT(E2,LEN("Optimisé"))="Optimisé"</formula>
    </cfRule>
    <cfRule type="beginsWith" dxfId="46" priority="8" operator="beginsWith" text="Non applicable">
      <formula>LEFT(E2,LEN("Non applicable"))="Non applicable"</formula>
    </cfRule>
    <cfRule type="beginsWith" dxfId="45" priority="9" operator="beginsWith" text="Maîtrisé">
      <formula>LEFT(E2,LEN("Maîtrisé"))="Maîtrisé"</formula>
    </cfRule>
    <cfRule type="beginsWith" dxfId="44" priority="10" operator="beginsWith" text="Défini">
      <formula>LEFT(E2,LEN("Défini"))="Défini"</formula>
    </cfRule>
    <cfRule type="beginsWith" dxfId="43" priority="11" operator="beginsWith" text="Répétable">
      <formula>LEFT(E2,LEN("Répétable"))="Répétable"</formula>
    </cfRule>
    <cfRule type="beginsWith" dxfId="42" priority="12" operator="beginsWith" text="Initiale">
      <formula>LEFT(E2,LEN("Initiale"))="Initiale"</formula>
    </cfRule>
  </conditionalFormatting>
  <conditionalFormatting sqref="F2:F7">
    <cfRule type="beginsWith" dxfId="41" priority="1" operator="beginsWith" text="Des politiques">
      <formula>LEFT(F2,LEN("Des politiques"))="Des politiques"</formula>
    </cfRule>
    <cfRule type="beginsWith" dxfId="40" priority="2" operator="beginsWith" text="Les politiques">
      <formula>LEFT(F2,LEN("Les politiques"))="Les politiques"</formula>
    </cfRule>
    <cfRule type="endsWith" dxfId="39" priority="3" operator="endsWith" text="cet environnement.">
      <formula>RIGHT(F2,LEN("cet environnement."))="cet environnement."</formula>
    </cfRule>
    <cfRule type="endsWith" dxfId="38" priority="4" operator="endsWith" text="déploiement.">
      <formula>RIGHT(F2,LEN("déploiement."))="déploiement."</formula>
    </cfRule>
    <cfRule type="endsWith" dxfId="37" priority="5" operator="endsWith" text="peu organisé.">
      <formula>RIGHT(F2,LEN("peu organisé."))="peu organisé."</formula>
    </cfRule>
    <cfRule type="containsText" dxfId="36" priority="6" operator="containsText" text="échelle.">
      <formula>NOT(ISERROR(SEARCH("échelle.",F2)))</formula>
    </cfRule>
  </conditionalFormatting>
  <dataValidations count="1">
    <dataValidation type="list" allowBlank="1" showInputMessage="1" showErrorMessage="1" sqref="D2:D7" xr:uid="{18AB452A-C7AB-45EF-9B6F-4BEB31C4D024}">
      <formula1>"1,2,3,4,5,NA"</formula1>
    </dataValidation>
  </dataValidation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9706-4670-9E46-8FB2-6DBD6FF9200F}">
  <dimension ref="A1:G9"/>
  <sheetViews>
    <sheetView topLeftCell="B1" zoomScale="90" zoomScaleNormal="90" zoomScaleSheetLayoutView="100" workbookViewId="0">
      <pane ySplit="1" topLeftCell="A7" activePane="bottomLeft" state="frozen"/>
      <selection pane="bottomLeft" activeCell="C1" sqref="C1"/>
    </sheetView>
  </sheetViews>
  <sheetFormatPr baseColWidth="10" defaultColWidth="8.77734375" defaultRowHeight="14.4"/>
  <cols>
    <col min="1" max="1" width="15.77734375" style="6" customWidth="1"/>
    <col min="2" max="2" width="45.33203125" style="6" customWidth="1"/>
    <col min="3" max="3" width="60.44140625" style="6" customWidth="1"/>
    <col min="4" max="4" width="13.21875" style="6" customWidth="1"/>
    <col min="5" max="5" width="16.5546875" style="6" customWidth="1"/>
    <col min="6" max="6" width="62.77734375" style="6" customWidth="1"/>
    <col min="7" max="7" width="58" style="6" customWidth="1"/>
    <col min="8" max="16384" width="8.77734375" style="6"/>
  </cols>
  <sheetData>
    <row r="1" spans="1:7" s="7" customFormat="1" ht="37.200000000000003" customHeight="1">
      <c r="A1" s="44" t="s">
        <v>4</v>
      </c>
      <c r="B1" s="44" t="s">
        <v>415</v>
      </c>
      <c r="C1" s="44" t="s">
        <v>416</v>
      </c>
      <c r="D1" s="56" t="s">
        <v>101</v>
      </c>
      <c r="E1" s="56" t="s">
        <v>388</v>
      </c>
      <c r="F1" s="56" t="s">
        <v>390</v>
      </c>
      <c r="G1" s="57" t="s">
        <v>202</v>
      </c>
    </row>
    <row r="2" spans="1:7" ht="98.4" customHeight="1">
      <c r="A2" s="46" t="s">
        <v>81</v>
      </c>
      <c r="B2" s="47" t="s">
        <v>368</v>
      </c>
      <c r="C2" s="47" t="s">
        <v>369</v>
      </c>
      <c r="D2" s="46">
        <v>1</v>
      </c>
      <c r="E2" s="46" t="str">
        <f>IFERROR(VLOOKUP(D2,Feuil1!A:B,2,FALSE),"")</f>
        <v>Initiale</v>
      </c>
      <c r="F2" s="47" t="str">
        <f>IFERROR(VLOOKUP(D2,Feuil1!A:C,3,FALSE),"")</f>
        <v>La sécurité est gérée manuellement et de manière non structurée.
Peu d’utilisation des fonctionnalités avancées du cloud et IAM peu organisé.</v>
      </c>
      <c r="G2" s="65"/>
    </row>
    <row r="3" spans="1:7" ht="99.6" customHeight="1">
      <c r="A3" s="46" t="s">
        <v>80</v>
      </c>
      <c r="B3" s="47" t="s">
        <v>370</v>
      </c>
      <c r="C3" s="47" t="s">
        <v>371</v>
      </c>
      <c r="D3" s="46">
        <v>4</v>
      </c>
      <c r="E3" s="46" t="str">
        <f>IFERROR(VLOOKUP(D3,Feuil1!A:B,2,FALSE),"")</f>
        <v>Maîtrisé</v>
      </c>
      <c r="F3" s="47" t="str">
        <f>IFERROR(VLOOKUP(D3,Feuil1!A:C,3,FALSE),"")</f>
        <v>La sécurité est centralisée et largement automatisée.
Elle est intégrée dans l’Infrastructure as Code et les pipelines de déploiement.</v>
      </c>
      <c r="G3" s="65"/>
    </row>
    <row r="4" spans="1:7" ht="99.6" customHeight="1">
      <c r="A4" s="46" t="s">
        <v>82</v>
      </c>
      <c r="B4" s="47" t="s">
        <v>372</v>
      </c>
      <c r="C4" s="47" t="s">
        <v>373</v>
      </c>
      <c r="D4" s="46">
        <v>3</v>
      </c>
      <c r="E4" s="46" t="str">
        <f>IFERROR(VLOOKUP(D4,Feuil1!A:B,2,FALSE),"")</f>
        <v>Défini</v>
      </c>
      <c r="F4" s="47" t="str">
        <f>IFERROR(VLOOKUP(D4,Feuil1!A:C,3,FALSE),"")</f>
        <v>Les politiques de sécurité sont centralisées et standardisées.
Certaines automatisations apparaissent et des outils de sécurité cloud commencent à être utilisés.</v>
      </c>
      <c r="G4" s="65"/>
    </row>
    <row r="5" spans="1:7" ht="90.6" customHeight="1">
      <c r="A5" s="46" t="s">
        <v>83</v>
      </c>
      <c r="B5" s="47" t="s">
        <v>374</v>
      </c>
      <c r="C5" s="47" t="s">
        <v>375</v>
      </c>
      <c r="D5" s="46">
        <v>4</v>
      </c>
      <c r="E5" s="46" t="str">
        <f>IFERROR(VLOOKUP(D5,Feuil1!A:B,2,FALSE),"")</f>
        <v>Maîtrisé</v>
      </c>
      <c r="F5" s="47" t="str">
        <f>IFERROR(VLOOKUP(D5,Feuil1!A:C,3,FALSE),"")</f>
        <v>La sécurité est centralisée et largement automatisée.
Elle est intégrée dans l’Infrastructure as Code et les pipelines de déploiement.</v>
      </c>
      <c r="G5" s="65"/>
    </row>
    <row r="6" spans="1:7" ht="91.2" customHeight="1">
      <c r="A6" s="46" t="s">
        <v>84</v>
      </c>
      <c r="B6" s="47" t="s">
        <v>376</v>
      </c>
      <c r="C6" s="47" t="s">
        <v>377</v>
      </c>
      <c r="D6" s="46">
        <v>5</v>
      </c>
      <c r="E6" s="46" t="str">
        <f>IFERROR(VLOOKUP(D6,Feuil1!A:B,2,FALSE),"")</f>
        <v xml:space="preserve">Optimisé </v>
      </c>
      <c r="F6" s="47" t="str">
        <f>IFERROR(VLOOKUP(D6,Feuil1!A:C,3,FALSE),"")</f>
        <v>La sécurité est entièrement intégrée, automatisée et pilotée par des plateformes centralisées.
Les contrôles sont cohérents et appliqués à grande échelle.</v>
      </c>
      <c r="G6" s="65"/>
    </row>
    <row r="7" spans="1:7" ht="89.4" customHeight="1">
      <c r="A7" s="46" t="s">
        <v>85</v>
      </c>
      <c r="B7" s="47" t="s">
        <v>378</v>
      </c>
      <c r="C7" s="47" t="s">
        <v>379</v>
      </c>
      <c r="D7" s="46">
        <v>2</v>
      </c>
      <c r="E7" s="46" t="str">
        <f>IFERROR(VLOOKUP(D7,Feuil1!A:B,2,FALSE),"")</f>
        <v>Répétable</v>
      </c>
      <c r="F7" s="47" t="str">
        <f>IFERROR(VLOOKUP(D7,Feuil1!A:C,3,FALSE),"")</f>
        <v>Des politiques de sécurité existent, mais elles sont appliquées manuellement et de façon incohérente selon les équipes.
L’automatisation et le MFA sont encore limités.</v>
      </c>
      <c r="G7" s="65"/>
    </row>
    <row r="8" spans="1:7" ht="72.599999999999994" customHeight="1">
      <c r="A8" s="46" t="s">
        <v>86</v>
      </c>
      <c r="B8" s="47" t="s">
        <v>380</v>
      </c>
      <c r="C8" s="47" t="s">
        <v>381</v>
      </c>
      <c r="D8" s="46">
        <v>2</v>
      </c>
      <c r="E8" s="46" t="str">
        <f>IFERROR(VLOOKUP(D8,Feuil1!A:B,2,FALSE),"")</f>
        <v>Répétable</v>
      </c>
      <c r="F8" s="47" t="str">
        <f>IFERROR(VLOOKUP(D8,Feuil1!A:C,3,FALSE),"")</f>
        <v>Des politiques de sécurité existent, mais elles sont appliquées manuellement et de façon incohérente selon les équipes.
L’automatisation et le MFA sont encore limités.</v>
      </c>
      <c r="G8" s="65"/>
    </row>
    <row r="9" spans="1:7" ht="86.4" customHeight="1">
      <c r="A9" s="46" t="s">
        <v>87</v>
      </c>
      <c r="B9" s="47" t="s">
        <v>382</v>
      </c>
      <c r="C9" s="47" t="s">
        <v>383</v>
      </c>
      <c r="D9" s="46">
        <v>1</v>
      </c>
      <c r="E9" s="46" t="str">
        <f>IFERROR(VLOOKUP(D9,Feuil1!A:B,2,FALSE),"")</f>
        <v>Initiale</v>
      </c>
      <c r="F9" s="47" t="str">
        <f>IFERROR(VLOOKUP(D9,Feuil1!A:C,3,FALSE),"")</f>
        <v>La sécurité est gérée manuellement et de manière non structurée.
Peu d’utilisation des fonctionnalités avancées du cloud et IAM peu organisé.</v>
      </c>
      <c r="G9" s="65"/>
    </row>
  </sheetData>
  <customSheetViews>
    <customSheetView guid="{F7C1623B-D7CD-CD4F-BF5C-C85D3815E60B}" scale="185" topLeftCell="A6">
      <selection activeCell="C9" sqref="A1:I9"/>
      <pageMargins left="0.7" right="0.7" top="0.75" bottom="0.75" header="0.3" footer="0.3"/>
      <pageSetup orientation="portrait" horizontalDpi="0" verticalDpi="0"/>
    </customSheetView>
    <customSheetView guid="{CB9281FB-53AC-4498-B6BF-6132B55113AF}" scale="110" topLeftCell="A8">
      <selection activeCell="D9" sqref="D9"/>
      <pageMargins left="0.7" right="0.7" top="0.75" bottom="0.75" header="0.3" footer="0.3"/>
      <pageSetup orientation="portrait" horizontalDpi="0" verticalDpi="0"/>
    </customSheetView>
    <customSheetView guid="{2C165A54-03F4-4551-85C8-E4ED1E664B78}" scale="90">
      <pane ySplit="1" topLeftCell="A2" activePane="bottomLeft" state="frozen"/>
      <selection pane="bottomLeft" activeCell="B3" sqref="B3"/>
      <pageMargins left="0.7" right="0.7" top="0.75" bottom="0.75" header="0.3" footer="0.3"/>
      <pageSetup orientation="portrait" horizontalDpi="0" verticalDpi="0"/>
    </customSheetView>
  </customSheetViews>
  <conditionalFormatting sqref="D2:D9">
    <cfRule type="containsText" dxfId="35" priority="13" operator="containsText" text="NA">
      <formula>NOT(ISERROR(SEARCH("NA",D2)))</formula>
    </cfRule>
    <cfRule type="containsText" dxfId="34" priority="14" operator="containsText" text="5">
      <formula>NOT(ISERROR(SEARCH("5",D2)))</formula>
    </cfRule>
    <cfRule type="containsText" dxfId="33" priority="15" operator="containsText" text="4">
      <formula>NOT(ISERROR(SEARCH("4",D2)))</formula>
    </cfRule>
    <cfRule type="containsText" dxfId="32" priority="16" operator="containsText" text="3">
      <formula>NOT(ISERROR(SEARCH("3",D2)))</formula>
    </cfRule>
    <cfRule type="containsText" dxfId="31" priority="17" operator="containsText" text="2">
      <formula>NOT(ISERROR(SEARCH("2",D2)))</formula>
    </cfRule>
    <cfRule type="containsText" dxfId="30" priority="18" operator="containsText" text="1">
      <formula>NOT(ISERROR(SEARCH("1",D2)))</formula>
    </cfRule>
  </conditionalFormatting>
  <conditionalFormatting sqref="E2:E9">
    <cfRule type="beginsWith" dxfId="29" priority="7" operator="beginsWith" text="Optimisé">
      <formula>LEFT(E2,LEN("Optimisé"))="Optimisé"</formula>
    </cfRule>
    <cfRule type="beginsWith" dxfId="28" priority="8" operator="beginsWith" text="Non Applicable">
      <formula>LEFT(E2,LEN("Non Applicable"))="Non Applicable"</formula>
    </cfRule>
    <cfRule type="beginsWith" dxfId="27" priority="9" operator="beginsWith" text="Maîtrisé">
      <formula>LEFT(E2,LEN("Maîtrisé"))="Maîtrisé"</formula>
    </cfRule>
    <cfRule type="containsText" dxfId="26" priority="10" operator="containsText" text="Défini">
      <formula>NOT(ISERROR(SEARCH("Défini",E2)))</formula>
    </cfRule>
    <cfRule type="beginsWith" dxfId="25" priority="11" operator="beginsWith" text="Répétable">
      <formula>LEFT(E2,LEN("Répétable"))="Répétable"</formula>
    </cfRule>
    <cfRule type="beginsWith" dxfId="24" priority="12" operator="beginsWith" text="Initiale">
      <formula>LEFT(E2,LEN("Initiale"))="Initiale"</formula>
    </cfRule>
  </conditionalFormatting>
  <conditionalFormatting sqref="F2:F9">
    <cfRule type="endsWith" dxfId="23" priority="1" operator="endsWith" text="déploiement.">
      <formula>RIGHT(F2,LEN("déploiement."))="déploiement."</formula>
    </cfRule>
    <cfRule type="beginsWith" dxfId="22" priority="2" operator="beginsWith" text="Les politiques">
      <formula>LEFT(F2,LEN("Les politiques"))="Les politiques"</formula>
    </cfRule>
    <cfRule type="beginsWith" dxfId="21" priority="3" operator="beginsWith" text="Des politiques">
      <formula>LEFT(F2,LEN("Des politiques"))="Des politiques"</formula>
    </cfRule>
    <cfRule type="endsWith" dxfId="20" priority="4" operator="endsWith" text="cet environnement.">
      <formula>RIGHT(F2,LEN("cet environnement."))="cet environnement."</formula>
    </cfRule>
    <cfRule type="endsWith" dxfId="19" priority="5" operator="endsWith" text="échelle.">
      <formula>RIGHT(F2,LEN("échelle."))="échelle."</formula>
    </cfRule>
    <cfRule type="endsWith" dxfId="18" priority="6" operator="endsWith" text="peu organisé.">
      <formula>RIGHT(F2,LEN("peu organisé."))="peu organisé."</formula>
    </cfRule>
  </conditionalFormatting>
  <dataValidations count="1">
    <dataValidation type="list" allowBlank="1" showInputMessage="1" showErrorMessage="1" sqref="D2:D9" xr:uid="{4CCBE892-06A2-4065-AAC1-550E8B7A59A2}">
      <formula1>"1,2,3,4,5,NA"</formula1>
    </dataValidation>
  </dataValidation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3DAF-951A-5149-90F2-985BBF5BAF44}">
  <dimension ref="A1:G11"/>
  <sheetViews>
    <sheetView zoomScale="90" zoomScaleNormal="90" zoomScaleSheetLayoutView="100" workbookViewId="0">
      <pane ySplit="1" topLeftCell="A8" activePane="bottomLeft" state="frozen"/>
      <selection pane="bottomLeft" activeCell="C1" sqref="C1"/>
    </sheetView>
  </sheetViews>
  <sheetFormatPr baseColWidth="10" defaultColWidth="8.77734375" defaultRowHeight="14.4"/>
  <cols>
    <col min="1" max="1" width="15.77734375" style="6" customWidth="1"/>
    <col min="2" max="2" width="32.44140625" style="6" customWidth="1"/>
    <col min="3" max="3" width="44.44140625" style="6" customWidth="1"/>
    <col min="4" max="4" width="13.77734375" style="6" customWidth="1"/>
    <col min="5" max="5" width="16.5546875" style="6" customWidth="1"/>
    <col min="6" max="6" width="70.21875" style="6" customWidth="1"/>
    <col min="7" max="7" width="72.5546875" style="6" customWidth="1"/>
    <col min="8" max="16384" width="8.77734375" style="6"/>
  </cols>
  <sheetData>
    <row r="1" spans="1:7" s="7" customFormat="1" ht="39.6" customHeight="1">
      <c r="A1" s="44" t="s">
        <v>4</v>
      </c>
      <c r="B1" s="44" t="s">
        <v>415</v>
      </c>
      <c r="C1" s="44" t="s">
        <v>416</v>
      </c>
      <c r="D1" s="44" t="s">
        <v>101</v>
      </c>
      <c r="E1" s="57" t="s">
        <v>388</v>
      </c>
      <c r="F1" s="57" t="s">
        <v>201</v>
      </c>
      <c r="G1" s="57" t="s">
        <v>202</v>
      </c>
    </row>
    <row r="2" spans="1:7" ht="130.19999999999999" customHeight="1">
      <c r="A2" s="46" t="s">
        <v>50</v>
      </c>
      <c r="B2" s="50" t="s">
        <v>311</v>
      </c>
      <c r="C2" s="50" t="s">
        <v>312</v>
      </c>
      <c r="D2" s="58">
        <v>2</v>
      </c>
      <c r="E2" s="58" t="str">
        <f>IFERROR(VLOOKUP(D2,Feuil1!A:B,2,FALSE),"")</f>
        <v>Répétable</v>
      </c>
      <c r="F2" s="66" t="str">
        <f>IFERROR(VLOOKUP(D2,Feuil1!A:C,3,FALSE),"")</f>
        <v>Des politiques de sécurité existent, mais elles sont appliquées manuellement et de façon incohérente selon les équipes.
L’automatisation et le MFA sont encore limités.</v>
      </c>
      <c r="G2" s="65"/>
    </row>
    <row r="3" spans="1:7" ht="98.4" customHeight="1">
      <c r="A3" s="46" t="s">
        <v>51</v>
      </c>
      <c r="B3" s="50" t="s">
        <v>313</v>
      </c>
      <c r="C3" s="50" t="s">
        <v>314</v>
      </c>
      <c r="D3" s="58">
        <v>1</v>
      </c>
      <c r="E3" s="58" t="str">
        <f>IFERROR(VLOOKUP(D3,Feuil1!A:B,2,FALSE),"")</f>
        <v>Initiale</v>
      </c>
      <c r="F3" s="66" t="str">
        <f>IFERROR(VLOOKUP(D3,Feuil1!A:C,3,FALSE),"")</f>
        <v>La sécurité est gérée manuellement et de manière non structurée.
Peu d’utilisation des fonctionnalités avancées du cloud et IAM peu organisé.</v>
      </c>
      <c r="G3" s="65"/>
    </row>
    <row r="4" spans="1:7" ht="111" customHeight="1">
      <c r="A4" s="46" t="s">
        <v>52</v>
      </c>
      <c r="B4" s="50" t="s">
        <v>315</v>
      </c>
      <c r="C4" s="50" t="s">
        <v>316</v>
      </c>
      <c r="D4" s="58">
        <v>4</v>
      </c>
      <c r="E4" s="58" t="str">
        <f>IFERROR(VLOOKUP(D4,Feuil1!A:B,2,FALSE),"")</f>
        <v>Maîtrisé</v>
      </c>
      <c r="F4" s="66" t="str">
        <f>IFERROR(VLOOKUP(D4,Feuil1!A:C,3,FALSE),"")</f>
        <v>La sécurité est centralisée et largement automatisée.
Elle est intégrée dans l’Infrastructure as Code et les pipelines de déploiement.</v>
      </c>
      <c r="G4" s="65"/>
    </row>
    <row r="5" spans="1:7" ht="109.2" customHeight="1">
      <c r="A5" s="46" t="s">
        <v>53</v>
      </c>
      <c r="B5" s="50" t="s">
        <v>317</v>
      </c>
      <c r="C5" s="50" t="s">
        <v>318</v>
      </c>
      <c r="D5" s="58">
        <v>4</v>
      </c>
      <c r="E5" s="58" t="str">
        <f>IFERROR(VLOOKUP(D5,Feuil1!A:B,2,FALSE),"")</f>
        <v>Maîtrisé</v>
      </c>
      <c r="F5" s="66" t="str">
        <f>IFERROR(VLOOKUP(D5,Feuil1!A:C,3,FALSE),"")</f>
        <v>La sécurité est centralisée et largement automatisée.
Elle est intégrée dans l’Infrastructure as Code et les pipelines de déploiement.</v>
      </c>
      <c r="G5" s="65"/>
    </row>
    <row r="6" spans="1:7" ht="43.2" customHeight="1">
      <c r="A6" s="46" t="s">
        <v>97</v>
      </c>
      <c r="B6" s="50" t="s">
        <v>319</v>
      </c>
      <c r="C6" s="50" t="s">
        <v>98</v>
      </c>
      <c r="D6" s="58">
        <v>5</v>
      </c>
      <c r="E6" s="58" t="str">
        <f>IFERROR(VLOOKUP(D6,Feuil1!A:B,2,FALSE),"")</f>
        <v xml:space="preserve">Optimisé </v>
      </c>
      <c r="F6" s="66" t="str">
        <f>IFERROR(VLOOKUP(D6,Feuil1!A:C,3,FALSE),"")</f>
        <v>La sécurité est entièrement intégrée, automatisée et pilotée par des plateformes centralisées.
Les contrôles sont cohérents et appliqués à grande échelle.</v>
      </c>
      <c r="G6" s="65"/>
    </row>
    <row r="7" spans="1:7" ht="96" customHeight="1">
      <c r="A7" s="46" t="s">
        <v>54</v>
      </c>
      <c r="B7" s="50" t="s">
        <v>321</v>
      </c>
      <c r="C7" s="50" t="s">
        <v>320</v>
      </c>
      <c r="D7" s="58">
        <v>4</v>
      </c>
      <c r="E7" s="58" t="str">
        <f>IFERROR(VLOOKUP(D7,Feuil1!A:B,2,FALSE),"")</f>
        <v>Maîtrisé</v>
      </c>
      <c r="F7" s="66" t="str">
        <f>IFERROR(VLOOKUP(D7,Feuil1!A:C,3,FALSE),"")</f>
        <v>La sécurité est centralisée et largement automatisée.
Elle est intégrée dans l’Infrastructure as Code et les pipelines de déploiement.</v>
      </c>
      <c r="G7" s="65"/>
    </row>
    <row r="8" spans="1:7" ht="95.4" customHeight="1">
      <c r="A8" s="46" t="s">
        <v>55</v>
      </c>
      <c r="B8" s="50" t="s">
        <v>322</v>
      </c>
      <c r="C8" s="50" t="s">
        <v>323</v>
      </c>
      <c r="D8" s="58">
        <v>4</v>
      </c>
      <c r="E8" s="58" t="str">
        <f>IFERROR(VLOOKUP(D8,Feuil1!A:B,2,FALSE),"")</f>
        <v>Maîtrisé</v>
      </c>
      <c r="F8" s="66" t="str">
        <f>IFERROR(VLOOKUP(D8,Feuil1!A:C,3,FALSE),"")</f>
        <v>La sécurité est centralisée et largement automatisée.
Elle est intégrée dans l’Infrastructure as Code et les pipelines de déploiement.</v>
      </c>
      <c r="G8" s="65"/>
    </row>
    <row r="9" spans="1:7" ht="96.6" customHeight="1">
      <c r="A9" s="46" t="s">
        <v>56</v>
      </c>
      <c r="B9" s="50" t="s">
        <v>324</v>
      </c>
      <c r="C9" s="50" t="s">
        <v>325</v>
      </c>
      <c r="D9" s="58">
        <v>3</v>
      </c>
      <c r="E9" s="58" t="str">
        <f>IFERROR(VLOOKUP(D9,Feuil1!A:B,2,FALSE),"")</f>
        <v>Défini</v>
      </c>
      <c r="F9" s="66" t="str">
        <f>IFERROR(VLOOKUP(D9,Feuil1!A:C,3,FALSE),"")</f>
        <v>Les politiques de sécurité sont centralisées et standardisées.
Certaines automatisations apparaissent et des outils de sécurité cloud commencent à être utilisés.</v>
      </c>
      <c r="G9" s="65"/>
    </row>
    <row r="10" spans="1:7" ht="110.4" customHeight="1">
      <c r="A10" s="46" t="s">
        <v>57</v>
      </c>
      <c r="B10" s="50" t="s">
        <v>326</v>
      </c>
      <c r="C10" s="50" t="s">
        <v>327</v>
      </c>
      <c r="D10" s="58">
        <v>3</v>
      </c>
      <c r="E10" s="58" t="str">
        <f>IFERROR(VLOOKUP(D10,Feuil1!A:B,2,FALSE),"")</f>
        <v>Défini</v>
      </c>
      <c r="F10" s="66" t="str">
        <f>IFERROR(VLOOKUP(D10,Feuil1!A:C,3,FALSE),"")</f>
        <v>Les politiques de sécurité sont centralisées et standardisées.
Certaines automatisations apparaissent et des outils de sécurité cloud commencent à être utilisés.</v>
      </c>
      <c r="G10" s="65"/>
    </row>
    <row r="11" spans="1:7" ht="78.599999999999994" customHeight="1">
      <c r="A11" s="46" t="s">
        <v>94</v>
      </c>
      <c r="B11" s="50" t="s">
        <v>328</v>
      </c>
      <c r="C11" s="50" t="s">
        <v>329</v>
      </c>
      <c r="D11" s="58">
        <v>4</v>
      </c>
      <c r="E11" s="58" t="str">
        <f>IFERROR(VLOOKUP(D11,Feuil1!A:B,2,FALSE),"")</f>
        <v>Maîtrisé</v>
      </c>
      <c r="F11" s="66" t="str">
        <f>IFERROR(VLOOKUP(D11,Feuil1!A:C,3,FALSE),"")</f>
        <v>La sécurité est centralisée et largement automatisée.
Elle est intégrée dans l’Infrastructure as Code et les pipelines de déploiement.</v>
      </c>
      <c r="G11" s="65"/>
    </row>
  </sheetData>
  <customSheetViews>
    <customSheetView guid="{F7C1623B-D7CD-CD4F-BF5C-C85D3815E60B}" scale="185" topLeftCell="A4">
      <selection activeCell="D6" sqref="A1:I10"/>
      <pageMargins left="0.7" right="0.7" top="0.75" bottom="0.75" header="0.3" footer="0.3"/>
      <pageSetup orientation="portrait" horizontalDpi="0" verticalDpi="0"/>
    </customSheetView>
    <customSheetView guid="{CB9281FB-53AC-4498-B6BF-6132B55113AF}" scale="90">
      <selection activeCell="A2" sqref="A2"/>
      <pageMargins left="0.7" right="0.7" top="0.75" bottom="0.75" header="0.3" footer="0.3"/>
      <pageSetup orientation="portrait" horizontalDpi="0" verticalDpi="0"/>
    </customSheetView>
    <customSheetView guid="{2C165A54-03F4-4551-85C8-E4ED1E664B78}">
      <pane ySplit="1" topLeftCell="A7" activePane="bottomLeft" state="frozen"/>
      <selection pane="bottomLeft" activeCell="D9" sqref="D9"/>
      <pageMargins left="0.7" right="0.7" top="0.75" bottom="0.75" header="0.3" footer="0.3"/>
      <pageSetup orientation="portrait" horizontalDpi="0" verticalDpi="0"/>
    </customSheetView>
  </customSheetViews>
  <conditionalFormatting sqref="D2:D11">
    <cfRule type="containsText" dxfId="17" priority="14" operator="containsText" text="NA">
      <formula>NOT(ISERROR(SEARCH("NA",D2)))</formula>
    </cfRule>
    <cfRule type="containsText" dxfId="16" priority="15" operator="containsText" text="5">
      <formula>NOT(ISERROR(SEARCH("5",D2)))</formula>
    </cfRule>
    <cfRule type="containsText" dxfId="15" priority="16" operator="containsText" text="4">
      <formula>NOT(ISERROR(SEARCH("4",D2)))</formula>
    </cfRule>
    <cfRule type="containsText" dxfId="14" priority="17" operator="containsText" text="3">
      <formula>NOT(ISERROR(SEARCH("3",D2)))</formula>
    </cfRule>
    <cfRule type="containsText" dxfId="13" priority="18" operator="containsText" text="2">
      <formula>NOT(ISERROR(SEARCH("2",D2)))</formula>
    </cfRule>
    <cfRule type="containsText" dxfId="12" priority="19" operator="containsText" text="1">
      <formula>NOT(ISERROR(SEARCH("1",D2)))</formula>
    </cfRule>
  </conditionalFormatting>
  <conditionalFormatting sqref="E2:E11">
    <cfRule type="beginsWith" dxfId="11" priority="7" operator="beginsWith" text="Non applicable">
      <formula>LEFT(E2,LEN("Non applicable"))="Non applicable"</formula>
    </cfRule>
    <cfRule type="beginsWith" dxfId="10" priority="8" operator="beginsWith" text="Optimisé">
      <formula>LEFT(E2,LEN("Optimisé"))="Optimisé"</formula>
    </cfRule>
    <cfRule type="beginsWith" dxfId="9" priority="10" operator="beginsWith" text="Maîtrisé">
      <formula>LEFT(E2,LEN("Maîtrisé"))="Maîtrisé"</formula>
    </cfRule>
    <cfRule type="beginsWith" dxfId="8" priority="11" operator="beginsWith" text="Défini">
      <formula>LEFT(E2,LEN("Défini"))="Défini"</formula>
    </cfRule>
    <cfRule type="beginsWith" dxfId="7" priority="12" operator="beginsWith" text="Répétable">
      <formula>LEFT(E2,LEN("Répétable"))="Répétable"</formula>
    </cfRule>
    <cfRule type="beginsWith" dxfId="6" priority="13" operator="beginsWith" text="Initiale">
      <formula>LEFT(E2,LEN("Initiale"))="Initiale"</formula>
    </cfRule>
  </conditionalFormatting>
  <conditionalFormatting sqref="F2:F11">
    <cfRule type="beginsWith" dxfId="5" priority="1" operator="beginsWith" text="Des politiques">
      <formula>LEFT(F2,LEN("Des politiques"))="Des politiques"</formula>
    </cfRule>
    <cfRule type="endsWith" dxfId="4" priority="2" operator="endsWith" text="peu organisé.">
      <formula>RIGHT(F2,LEN("peu organisé."))="peu organisé."</formula>
    </cfRule>
    <cfRule type="beginsWith" dxfId="3" priority="3" operator="beginsWith" text="Les politiques">
      <formula>LEFT(F2,LEN("Les politiques"))="Les politiques"</formula>
    </cfRule>
    <cfRule type="endsWith" dxfId="2" priority="4" operator="endsWith" text="cet environnement.">
      <formula>RIGHT(F2,LEN("cet environnement."))="cet environnement."</formula>
    </cfRule>
    <cfRule type="endsWith" dxfId="1" priority="5" operator="endsWith" text="échelle.">
      <formula>RIGHT(F2,LEN("échelle."))="échelle."</formula>
    </cfRule>
    <cfRule type="beginsWith" dxfId="0" priority="6" operator="beginsWith" text="La sécurité">
      <formula>LEFT(F2,LEN("La sécurité"))="La sécurité"</formula>
    </cfRule>
  </conditionalFormatting>
  <dataValidations count="1">
    <dataValidation type="list" allowBlank="1" showInputMessage="1" showErrorMessage="1" sqref="D2:D11" xr:uid="{380FFAEE-EB55-43E7-8B39-8A7500B419F4}">
      <formula1>"1,2,3,4,5,NA"</formula1>
    </dataValidation>
  </dataValidations>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9856-1E77-4E7D-8520-F004C7F4A1E1}">
  <dimension ref="D8:M25"/>
  <sheetViews>
    <sheetView showGridLines="0" topLeftCell="A2" workbookViewId="0">
      <selection activeCell="J25" sqref="J25"/>
    </sheetView>
  </sheetViews>
  <sheetFormatPr baseColWidth="10" defaultRowHeight="13.2"/>
  <cols>
    <col min="4" max="4" width="13.6640625" bestFit="1" customWidth="1"/>
    <col min="5" max="5" width="9" bestFit="1" customWidth="1"/>
    <col min="8" max="8" width="8.33203125" customWidth="1"/>
    <col min="9" max="9" width="17.33203125" customWidth="1"/>
    <col min="12" max="12" width="13.6640625" bestFit="1" customWidth="1"/>
    <col min="13" max="13" width="9.88671875" bestFit="1" customWidth="1"/>
  </cols>
  <sheetData>
    <row r="8" spans="4:13" ht="39.6">
      <c r="D8" s="67" t="s">
        <v>396</v>
      </c>
      <c r="E8" s="68" t="s">
        <v>398</v>
      </c>
      <c r="L8" s="67" t="s">
        <v>396</v>
      </c>
      <c r="M8" s="68" t="s">
        <v>400</v>
      </c>
    </row>
    <row r="9" spans="4:13">
      <c r="D9" s="69" t="s">
        <v>34</v>
      </c>
      <c r="E9" s="70">
        <v>1</v>
      </c>
      <c r="L9" s="69">
        <v>1</v>
      </c>
      <c r="M9" s="70">
        <v>1</v>
      </c>
    </row>
    <row r="10" spans="4:13">
      <c r="D10" s="71" t="s">
        <v>35</v>
      </c>
      <c r="E10" s="72">
        <v>4</v>
      </c>
      <c r="L10" s="71">
        <v>2</v>
      </c>
      <c r="M10" s="72">
        <v>2</v>
      </c>
    </row>
    <row r="11" spans="4:13">
      <c r="D11" s="71" t="s">
        <v>36</v>
      </c>
      <c r="E11" s="72">
        <v>5</v>
      </c>
      <c r="L11" s="71">
        <v>4</v>
      </c>
      <c r="M11" s="72">
        <v>1</v>
      </c>
    </row>
    <row r="12" spans="4:13">
      <c r="D12" s="71" t="s">
        <v>37</v>
      </c>
      <c r="E12" s="72">
        <v>2</v>
      </c>
      <c r="L12" s="71">
        <v>5</v>
      </c>
      <c r="M12" s="72">
        <v>1</v>
      </c>
    </row>
    <row r="13" spans="4:13">
      <c r="D13" s="71" t="s">
        <v>38</v>
      </c>
      <c r="E13" s="72">
        <v>3</v>
      </c>
      <c r="L13" s="71">
        <v>3</v>
      </c>
      <c r="M13" s="72">
        <v>1</v>
      </c>
    </row>
    <row r="14" spans="4:13">
      <c r="D14" s="71" t="s">
        <v>39</v>
      </c>
      <c r="E14" s="72">
        <v>2</v>
      </c>
      <c r="L14" s="73" t="s">
        <v>397</v>
      </c>
      <c r="M14" s="74">
        <v>6</v>
      </c>
    </row>
    <row r="15" spans="4:13">
      <c r="D15" s="73" t="s">
        <v>397</v>
      </c>
      <c r="E15" s="74">
        <v>5</v>
      </c>
    </row>
    <row r="24" spans="9:10" ht="29.4" customHeight="1">
      <c r="I24" s="80" t="s">
        <v>404</v>
      </c>
      <c r="J24" s="80">
        <f>AVERAGE('Sécurité réseau'!D2:D10)</f>
        <v>2.8333333333333335</v>
      </c>
    </row>
    <row r="25" spans="9:10">
      <c r="I25" s="82"/>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734D-4C3A-42C1-B381-F03714B5F091}">
  <dimension ref="A1:L22"/>
  <sheetViews>
    <sheetView showGridLines="0" workbookViewId="0">
      <selection activeCell="J23" sqref="J23"/>
    </sheetView>
  </sheetViews>
  <sheetFormatPr baseColWidth="10" defaultRowHeight="13.2"/>
  <cols>
    <col min="1" max="1" width="13.6640625" bestFit="1" customWidth="1"/>
    <col min="2" max="2" width="9" bestFit="1" customWidth="1"/>
    <col min="8" max="8" width="12.44140625" customWidth="1"/>
    <col min="9" max="9" width="17.88671875" customWidth="1"/>
    <col min="10" max="10" width="12.77734375" customWidth="1"/>
    <col min="11" max="11" width="13.6640625" bestFit="1" customWidth="1"/>
    <col min="12" max="12" width="9.88671875" bestFit="1" customWidth="1"/>
  </cols>
  <sheetData>
    <row r="1" spans="1:12" ht="39.6">
      <c r="A1" s="67" t="s">
        <v>396</v>
      </c>
      <c r="B1" s="68" t="s">
        <v>398</v>
      </c>
    </row>
    <row r="2" spans="1:12">
      <c r="A2" s="69" t="s">
        <v>40</v>
      </c>
      <c r="B2" s="70">
        <v>1</v>
      </c>
    </row>
    <row r="3" spans="1:12">
      <c r="A3" s="71" t="s">
        <v>41</v>
      </c>
      <c r="B3" s="72">
        <v>4</v>
      </c>
    </row>
    <row r="4" spans="1:12" ht="26.4">
      <c r="A4" s="71" t="s">
        <v>42</v>
      </c>
      <c r="B4" s="72">
        <v>5</v>
      </c>
      <c r="K4" s="67" t="s">
        <v>396</v>
      </c>
      <c r="L4" s="68" t="s">
        <v>400</v>
      </c>
    </row>
    <row r="5" spans="1:12">
      <c r="A5" s="71" t="s">
        <v>43</v>
      </c>
      <c r="B5" s="72">
        <v>3</v>
      </c>
      <c r="K5" s="69">
        <v>1</v>
      </c>
      <c r="L5" s="70">
        <v>2</v>
      </c>
    </row>
    <row r="6" spans="1:12">
      <c r="A6" s="71" t="s">
        <v>44</v>
      </c>
      <c r="B6" s="72">
        <v>1</v>
      </c>
      <c r="K6" s="71">
        <v>2</v>
      </c>
      <c r="L6" s="72">
        <v>4</v>
      </c>
    </row>
    <row r="7" spans="1:12">
      <c r="A7" s="71" t="s">
        <v>45</v>
      </c>
      <c r="B7" s="72">
        <v>3</v>
      </c>
      <c r="K7" s="71">
        <v>3</v>
      </c>
      <c r="L7" s="72">
        <v>2</v>
      </c>
    </row>
    <row r="8" spans="1:12">
      <c r="A8" s="71" t="s">
        <v>46</v>
      </c>
      <c r="B8" s="72">
        <v>4</v>
      </c>
      <c r="K8" s="71">
        <v>4</v>
      </c>
      <c r="L8" s="72">
        <v>2</v>
      </c>
    </row>
    <row r="9" spans="1:12">
      <c r="A9" s="71" t="s">
        <v>47</v>
      </c>
      <c r="B9" s="72">
        <v>2</v>
      </c>
      <c r="K9" s="71">
        <v>5</v>
      </c>
      <c r="L9" s="72">
        <v>1</v>
      </c>
    </row>
    <row r="10" spans="1:12">
      <c r="A10" s="71" t="s">
        <v>48</v>
      </c>
      <c r="B10" s="72">
        <v>2</v>
      </c>
      <c r="K10" s="73" t="s">
        <v>397</v>
      </c>
      <c r="L10" s="74">
        <v>11</v>
      </c>
    </row>
    <row r="11" spans="1:12">
      <c r="A11" s="71" t="s">
        <v>49</v>
      </c>
      <c r="B11" s="72">
        <v>2</v>
      </c>
    </row>
    <row r="12" spans="1:12">
      <c r="A12" s="71" t="s">
        <v>100</v>
      </c>
      <c r="B12" s="72">
        <v>2</v>
      </c>
    </row>
    <row r="13" spans="1:12">
      <c r="A13" s="73" t="s">
        <v>397</v>
      </c>
      <c r="B13" s="74">
        <v>5</v>
      </c>
    </row>
    <row r="22" spans="9:10" ht="33.6" customHeight="1">
      <c r="I22" s="79" t="s">
        <v>150</v>
      </c>
      <c r="J22" s="80">
        <f>AVERAGE('Sécurité des charges de travail'!D2:D12)</f>
        <v>2.6363636363636362</v>
      </c>
    </row>
  </sheetData>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9219-0808-42D3-8C6F-6AABDBE4AC96}">
  <dimension ref="B5:I39"/>
  <sheetViews>
    <sheetView showGridLines="0" workbookViewId="0">
      <selection activeCell="G40" sqref="G40"/>
    </sheetView>
  </sheetViews>
  <sheetFormatPr baseColWidth="10" defaultRowHeight="13.2"/>
  <cols>
    <col min="1" max="1" width="13.6640625" bestFit="1" customWidth="1"/>
    <col min="2" max="2" width="19" bestFit="1" customWidth="1"/>
    <col min="3" max="3" width="11.109375" bestFit="1" customWidth="1"/>
    <col min="4" max="4" width="7.33203125" bestFit="1" customWidth="1"/>
    <col min="5" max="5" width="13.88671875" customWidth="1"/>
    <col min="6" max="6" width="24.77734375" customWidth="1"/>
    <col min="7" max="7" width="22.44140625" customWidth="1"/>
    <col min="8" max="8" width="6.33203125" customWidth="1"/>
    <col min="9" max="9" width="13.6640625" bestFit="1" customWidth="1"/>
    <col min="10" max="10" width="11.33203125" bestFit="1" customWidth="1"/>
  </cols>
  <sheetData>
    <row r="5" spans="2:3" ht="39.6">
      <c r="B5" s="67" t="s">
        <v>396</v>
      </c>
      <c r="C5" s="68" t="s">
        <v>399</v>
      </c>
    </row>
    <row r="6" spans="2:3">
      <c r="B6" s="69" t="s">
        <v>6</v>
      </c>
      <c r="C6" s="70">
        <v>2</v>
      </c>
    </row>
    <row r="7" spans="2:3">
      <c r="B7" s="71" t="s">
        <v>7</v>
      </c>
      <c r="C7" s="72">
        <v>1</v>
      </c>
    </row>
    <row r="8" spans="2:3">
      <c r="B8" s="71" t="s">
        <v>8</v>
      </c>
      <c r="C8" s="72">
        <v>5</v>
      </c>
    </row>
    <row r="9" spans="2:3">
      <c r="B9" s="71" t="s">
        <v>9</v>
      </c>
      <c r="C9" s="72">
        <v>5</v>
      </c>
    </row>
    <row r="10" spans="2:3">
      <c r="B10" s="71" t="s">
        <v>10</v>
      </c>
      <c r="C10" s="72">
        <v>3</v>
      </c>
    </row>
    <row r="11" spans="2:3">
      <c r="B11" s="71" t="s">
        <v>11</v>
      </c>
      <c r="C11" s="72">
        <v>2</v>
      </c>
    </row>
    <row r="12" spans="2:3">
      <c r="B12" s="71" t="s">
        <v>12</v>
      </c>
      <c r="C12" s="72">
        <v>4</v>
      </c>
    </row>
    <row r="13" spans="2:3">
      <c r="B13" s="71" t="s">
        <v>13</v>
      </c>
      <c r="C13" s="72">
        <v>4</v>
      </c>
    </row>
    <row r="14" spans="2:3">
      <c r="B14" s="71" t="s">
        <v>14</v>
      </c>
      <c r="C14" s="72">
        <v>4</v>
      </c>
    </row>
    <row r="15" spans="2:3">
      <c r="B15" s="73" t="s">
        <v>397</v>
      </c>
      <c r="C15" s="74">
        <v>30</v>
      </c>
    </row>
    <row r="18" spans="3:4" ht="15" customHeight="1"/>
    <row r="22" spans="3:4" hidden="1"/>
    <row r="23" spans="3:4" ht="8.4" hidden="1" customHeight="1"/>
    <row r="24" spans="3:4" hidden="1"/>
    <row r="25" spans="3:4" ht="26.4" hidden="1">
      <c r="C25" s="67" t="s">
        <v>396</v>
      </c>
      <c r="D25" s="68" t="s">
        <v>400</v>
      </c>
    </row>
    <row r="26" spans="3:4" hidden="1">
      <c r="C26" s="69">
        <v>1</v>
      </c>
      <c r="D26" s="70">
        <v>1</v>
      </c>
    </row>
    <row r="27" spans="3:4" hidden="1">
      <c r="C27" s="71">
        <v>3</v>
      </c>
      <c r="D27" s="72">
        <v>1</v>
      </c>
    </row>
    <row r="28" spans="3:4" hidden="1">
      <c r="C28" s="71">
        <v>4</v>
      </c>
      <c r="D28" s="72">
        <v>3</v>
      </c>
    </row>
    <row r="29" spans="3:4" hidden="1">
      <c r="C29" s="71">
        <v>5</v>
      </c>
      <c r="D29" s="72">
        <v>2</v>
      </c>
    </row>
    <row r="30" spans="3:4" hidden="1">
      <c r="C30" s="71">
        <v>2</v>
      </c>
      <c r="D30" s="72">
        <v>2</v>
      </c>
    </row>
    <row r="31" spans="3:4" ht="26.4" hidden="1">
      <c r="C31" s="73" t="s">
        <v>397</v>
      </c>
      <c r="D31" s="74">
        <v>9</v>
      </c>
    </row>
    <row r="32" spans="3:4" hidden="1"/>
    <row r="33" spans="6:9" ht="8.4" customHeight="1"/>
    <row r="34" spans="6:9" hidden="1"/>
    <row r="35" spans="6:9" hidden="1"/>
    <row r="36" spans="6:9" hidden="1"/>
    <row r="37" spans="6:9" hidden="1"/>
    <row r="38" spans="6:9" ht="14.4" customHeight="1">
      <c r="F38" s="75"/>
      <c r="G38" s="77"/>
      <c r="H38" s="76"/>
    </row>
    <row r="39" spans="6:9" ht="24.6" customHeight="1">
      <c r="F39" s="81" t="s">
        <v>401</v>
      </c>
      <c r="G39" s="80">
        <f>AVERAGE(Gouvernance!D2:D10)</f>
        <v>3.5555555555555554</v>
      </c>
      <c r="H39" s="78"/>
      <c r="I39" s="78"/>
    </row>
  </sheetData>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43CC2-6FA0-4456-B129-B2D3BF1F098D}">
  <dimension ref="B2:J22"/>
  <sheetViews>
    <sheetView showGridLines="0" workbookViewId="0">
      <selection activeCell="I23" sqref="I23"/>
    </sheetView>
  </sheetViews>
  <sheetFormatPr baseColWidth="10" defaultRowHeight="13.2"/>
  <cols>
    <col min="2" max="2" width="13.6640625" bestFit="1" customWidth="1"/>
    <col min="3" max="3" width="9" bestFit="1" customWidth="1"/>
    <col min="7" max="7" width="7.33203125" customWidth="1"/>
    <col min="8" max="8" width="16.44140625" customWidth="1"/>
    <col min="9" max="9" width="13.6640625" bestFit="1" customWidth="1"/>
    <col min="10" max="10" width="9.88671875" bestFit="1" customWidth="1"/>
  </cols>
  <sheetData>
    <row r="2" spans="2:10" ht="26.4">
      <c r="I2" s="67" t="s">
        <v>396</v>
      </c>
      <c r="J2" s="68" t="s">
        <v>400</v>
      </c>
    </row>
    <row r="3" spans="2:10">
      <c r="I3" s="69">
        <v>1</v>
      </c>
      <c r="J3" s="70">
        <v>1</v>
      </c>
    </row>
    <row r="4" spans="2:10" ht="39.6">
      <c r="B4" s="67" t="s">
        <v>396</v>
      </c>
      <c r="C4" s="68" t="s">
        <v>398</v>
      </c>
      <c r="I4" s="71">
        <v>2</v>
      </c>
      <c r="J4" s="72">
        <v>1</v>
      </c>
    </row>
    <row r="5" spans="2:10">
      <c r="B5" s="69" t="s">
        <v>19</v>
      </c>
      <c r="C5" s="70">
        <v>4</v>
      </c>
      <c r="I5" s="71">
        <v>3</v>
      </c>
      <c r="J5" s="72">
        <v>1</v>
      </c>
    </row>
    <row r="6" spans="2:10">
      <c r="B6" s="71" t="s">
        <v>20</v>
      </c>
      <c r="C6" s="72">
        <v>4</v>
      </c>
      <c r="I6" s="71">
        <v>4</v>
      </c>
      <c r="J6" s="72">
        <v>1</v>
      </c>
    </row>
    <row r="7" spans="2:10">
      <c r="B7" s="71" t="s">
        <v>16</v>
      </c>
      <c r="C7" s="72">
        <v>3</v>
      </c>
      <c r="I7" s="71">
        <v>5</v>
      </c>
      <c r="J7" s="72">
        <v>1</v>
      </c>
    </row>
    <row r="8" spans="2:10">
      <c r="B8" s="71" t="s">
        <v>95</v>
      </c>
      <c r="C8" s="72">
        <v>5</v>
      </c>
      <c r="I8" s="71" t="s">
        <v>387</v>
      </c>
      <c r="J8" s="72">
        <v>2</v>
      </c>
    </row>
    <row r="9" spans="2:10">
      <c r="B9" s="71" t="s">
        <v>17</v>
      </c>
      <c r="C9" s="72">
        <v>2</v>
      </c>
      <c r="I9" s="73" t="s">
        <v>397</v>
      </c>
      <c r="J9" s="74">
        <v>7</v>
      </c>
    </row>
    <row r="10" spans="2:10">
      <c r="B10" s="71" t="s">
        <v>18</v>
      </c>
      <c r="C10" s="72">
        <v>1</v>
      </c>
    </row>
    <row r="11" spans="2:10">
      <c r="B11" s="71" t="s">
        <v>15</v>
      </c>
      <c r="C11" s="72">
        <v>4</v>
      </c>
    </row>
    <row r="12" spans="2:10">
      <c r="B12" s="73" t="s">
        <v>397</v>
      </c>
      <c r="C12" s="74">
        <v>5</v>
      </c>
    </row>
    <row r="21" spans="8:9" ht="13.2" customHeight="1"/>
    <row r="22" spans="8:9" ht="26.4">
      <c r="H22" s="60" t="s">
        <v>403</v>
      </c>
      <c r="I22" s="80">
        <f>AVERAGE('Gestion organisationnelle'!D2:D10)</f>
        <v>3.2857142857142856</v>
      </c>
    </row>
  </sheetData>
  <pageMargins left="0.7" right="0.7" top="0.75" bottom="0.75" header="0.3" footer="0.3"/>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667D-6B6F-4E8B-B502-48FC8D0856A7}">
  <dimension ref="A1:K21"/>
  <sheetViews>
    <sheetView showGridLines="0" workbookViewId="0">
      <selection activeCell="I22" sqref="I22"/>
    </sheetView>
  </sheetViews>
  <sheetFormatPr baseColWidth="10" defaultRowHeight="13.2"/>
  <cols>
    <col min="1" max="1" width="13.6640625" bestFit="1" customWidth="1"/>
    <col min="2" max="2" width="9" bestFit="1" customWidth="1"/>
    <col min="10" max="10" width="13.6640625" bestFit="1" customWidth="1"/>
    <col min="11" max="11" width="7.33203125" bestFit="1" customWidth="1"/>
  </cols>
  <sheetData>
    <row r="1" spans="1:11" ht="39.6">
      <c r="A1" s="67" t="s">
        <v>396</v>
      </c>
      <c r="B1" s="68" t="s">
        <v>402</v>
      </c>
    </row>
    <row r="2" spans="1:11">
      <c r="A2" s="69" t="s">
        <v>21</v>
      </c>
      <c r="B2" s="70">
        <v>2</v>
      </c>
    </row>
    <row r="3" spans="1:11">
      <c r="A3" s="71" t="s">
        <v>22</v>
      </c>
      <c r="B3" s="72">
        <v>4</v>
      </c>
    </row>
    <row r="4" spans="1:11" ht="26.4">
      <c r="A4" s="71" t="s">
        <v>23</v>
      </c>
      <c r="B4" s="72">
        <v>3</v>
      </c>
      <c r="J4" s="67" t="s">
        <v>396</v>
      </c>
      <c r="K4" s="68" t="s">
        <v>400</v>
      </c>
    </row>
    <row r="5" spans="1:11">
      <c r="A5" s="71" t="s">
        <v>24</v>
      </c>
      <c r="B5" s="72">
        <v>1</v>
      </c>
      <c r="J5" s="69">
        <v>1</v>
      </c>
      <c r="K5" s="70">
        <v>1</v>
      </c>
    </row>
    <row r="6" spans="1:11">
      <c r="A6" s="71" t="s">
        <v>25</v>
      </c>
      <c r="B6" s="72">
        <v>3</v>
      </c>
      <c r="J6" s="71">
        <v>2</v>
      </c>
      <c r="K6" s="72">
        <v>2</v>
      </c>
    </row>
    <row r="7" spans="1:11">
      <c r="A7" s="71" t="s">
        <v>26</v>
      </c>
      <c r="B7" s="72">
        <v>5</v>
      </c>
      <c r="J7" s="71">
        <v>3</v>
      </c>
      <c r="K7" s="72">
        <v>1</v>
      </c>
    </row>
    <row r="8" spans="1:11">
      <c r="A8" s="71" t="s">
        <v>96</v>
      </c>
      <c r="B8" s="72">
        <v>4</v>
      </c>
      <c r="J8" s="71">
        <v>5</v>
      </c>
      <c r="K8" s="72">
        <v>1</v>
      </c>
    </row>
    <row r="9" spans="1:11">
      <c r="A9" s="73" t="s">
        <v>397</v>
      </c>
      <c r="B9" s="74">
        <v>5</v>
      </c>
      <c r="J9" s="71">
        <v>4</v>
      </c>
      <c r="K9" s="72">
        <v>1</v>
      </c>
    </row>
    <row r="10" spans="1:11">
      <c r="J10" s="73" t="s">
        <v>397</v>
      </c>
      <c r="K10" s="74">
        <v>6</v>
      </c>
    </row>
    <row r="20" spans="8:9" ht="15" customHeight="1"/>
    <row r="21" spans="8:9" ht="27" customHeight="1">
      <c r="H21" s="48" t="s">
        <v>1</v>
      </c>
      <c r="I21" s="80">
        <f>AVERAGE(IAM!D2:D10)</f>
        <v>3.1428571428571428</v>
      </c>
    </row>
  </sheetData>
  <pageMargins left="0.7" right="0.7" top="0.75" bottom="0.75" header="0.3" footer="0.3"/>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AABA-B429-42EE-96B8-9AB01B403FC8}">
  <dimension ref="B4:M23"/>
  <sheetViews>
    <sheetView showGridLines="0" topLeftCell="A3" workbookViewId="0">
      <selection activeCell="I24" sqref="I24"/>
    </sheetView>
  </sheetViews>
  <sheetFormatPr baseColWidth="10" defaultRowHeight="13.2"/>
  <cols>
    <col min="2" max="2" width="13.6640625" bestFit="1" customWidth="1"/>
    <col min="3" max="3" width="9" bestFit="1" customWidth="1"/>
    <col min="8" max="8" width="26.88671875" customWidth="1"/>
    <col min="12" max="12" width="13.6640625" bestFit="1" customWidth="1"/>
    <col min="13" max="13" width="9.88671875" bestFit="1" customWidth="1"/>
  </cols>
  <sheetData>
    <row r="4" spans="2:13" ht="39.6">
      <c r="B4" s="67" t="s">
        <v>396</v>
      </c>
      <c r="C4" s="68" t="s">
        <v>398</v>
      </c>
    </row>
    <row r="5" spans="2:13">
      <c r="B5" s="69" t="s">
        <v>27</v>
      </c>
      <c r="C5" s="70">
        <v>5</v>
      </c>
    </row>
    <row r="6" spans="2:13" ht="26.4">
      <c r="B6" s="71" t="s">
        <v>28</v>
      </c>
      <c r="C6" s="72">
        <v>1</v>
      </c>
      <c r="L6" s="67" t="s">
        <v>396</v>
      </c>
      <c r="M6" s="68" t="s">
        <v>400</v>
      </c>
    </row>
    <row r="7" spans="2:13">
      <c r="B7" s="71" t="s">
        <v>29</v>
      </c>
      <c r="C7" s="72">
        <v>2</v>
      </c>
      <c r="L7" s="69">
        <v>2</v>
      </c>
      <c r="M7" s="70">
        <v>2</v>
      </c>
    </row>
    <row r="8" spans="2:13">
      <c r="B8" s="71" t="s">
        <v>30</v>
      </c>
      <c r="C8" s="72">
        <v>5</v>
      </c>
      <c r="L8" s="71">
        <v>3</v>
      </c>
      <c r="M8" s="72">
        <v>1</v>
      </c>
    </row>
    <row r="9" spans="2:13">
      <c r="B9" s="71" t="s">
        <v>31</v>
      </c>
      <c r="C9" s="72">
        <v>4</v>
      </c>
      <c r="L9" s="71">
        <v>4</v>
      </c>
      <c r="M9" s="72">
        <v>1</v>
      </c>
    </row>
    <row r="10" spans="2:13">
      <c r="B10" s="71" t="s">
        <v>32</v>
      </c>
      <c r="C10" s="72">
        <v>3</v>
      </c>
      <c r="L10" s="71">
        <v>5</v>
      </c>
      <c r="M10" s="72">
        <v>2</v>
      </c>
    </row>
    <row r="11" spans="2:13">
      <c r="B11" s="71" t="s">
        <v>33</v>
      </c>
      <c r="C11" s="72">
        <v>2</v>
      </c>
      <c r="L11" s="71">
        <v>1</v>
      </c>
      <c r="M11" s="72">
        <v>1</v>
      </c>
    </row>
    <row r="12" spans="2:13">
      <c r="B12" s="73" t="s">
        <v>397</v>
      </c>
      <c r="C12" s="74">
        <v>5</v>
      </c>
      <c r="L12" s="73" t="s">
        <v>397</v>
      </c>
      <c r="M12" s="74">
        <v>7</v>
      </c>
    </row>
    <row r="23" spans="8:9" ht="44.4" customHeight="1">
      <c r="H23" s="80" t="s">
        <v>148</v>
      </c>
      <c r="I23" s="80">
        <f>AVERAGE('Supervision de la sécurité'!D2:D10)</f>
        <v>3.1428571428571428</v>
      </c>
    </row>
  </sheetData>
  <pageMargins left="0.7" right="0.7" top="0.75" bottom="0.75" header="0.3" footer="0.3"/>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0794-4EC2-4D46-94F7-64A4F8890E3A}">
  <dimension ref="A1:K21"/>
  <sheetViews>
    <sheetView showGridLines="0" workbookViewId="0">
      <selection activeCell="I22" sqref="I22"/>
    </sheetView>
  </sheetViews>
  <sheetFormatPr baseColWidth="10" defaultRowHeight="13.2"/>
  <cols>
    <col min="1" max="1" width="13.6640625" bestFit="1" customWidth="1"/>
    <col min="2" max="2" width="9.6640625" bestFit="1" customWidth="1"/>
    <col min="7" max="7" width="14.77734375" customWidth="1"/>
    <col min="8" max="8" width="16.5546875" customWidth="1"/>
    <col min="9" max="9" width="13" customWidth="1"/>
    <col min="10" max="10" width="13.6640625" bestFit="1" customWidth="1"/>
    <col min="11" max="11" width="9.88671875" bestFit="1" customWidth="1"/>
  </cols>
  <sheetData>
    <row r="1" spans="1:11" ht="39.6">
      <c r="A1" s="67" t="s">
        <v>396</v>
      </c>
      <c r="B1" s="68" t="s">
        <v>399</v>
      </c>
    </row>
    <row r="2" spans="1:11">
      <c r="A2" s="69" t="s">
        <v>58</v>
      </c>
      <c r="B2" s="70">
        <v>1</v>
      </c>
    </row>
    <row r="3" spans="1:11" ht="26.4">
      <c r="A3" s="71" t="s">
        <v>59</v>
      </c>
      <c r="B3" s="72">
        <v>3</v>
      </c>
      <c r="J3" s="67" t="s">
        <v>396</v>
      </c>
      <c r="K3" s="68" t="s">
        <v>400</v>
      </c>
    </row>
    <row r="4" spans="1:11">
      <c r="A4" s="71" t="s">
        <v>60</v>
      </c>
      <c r="B4" s="72">
        <v>3</v>
      </c>
      <c r="J4" s="69">
        <v>1</v>
      </c>
      <c r="K4" s="70">
        <v>1</v>
      </c>
    </row>
    <row r="5" spans="1:11">
      <c r="A5" s="71" t="s">
        <v>61</v>
      </c>
      <c r="B5" s="72">
        <v>4</v>
      </c>
      <c r="J5" s="71">
        <v>2</v>
      </c>
      <c r="K5" s="72">
        <v>2</v>
      </c>
    </row>
    <row r="6" spans="1:11">
      <c r="A6" s="71" t="s">
        <v>62</v>
      </c>
      <c r="B6" s="72">
        <v>5</v>
      </c>
      <c r="J6" s="71">
        <v>3</v>
      </c>
      <c r="K6" s="72">
        <v>3</v>
      </c>
    </row>
    <row r="7" spans="1:11">
      <c r="A7" s="71" t="s">
        <v>63</v>
      </c>
      <c r="B7" s="72">
        <v>2</v>
      </c>
      <c r="J7" s="71">
        <v>4</v>
      </c>
      <c r="K7" s="72">
        <v>1</v>
      </c>
    </row>
    <row r="8" spans="1:11">
      <c r="A8" s="71" t="s">
        <v>64</v>
      </c>
      <c r="B8" s="72">
        <v>2</v>
      </c>
      <c r="J8" s="71">
        <v>5</v>
      </c>
      <c r="K8" s="72">
        <v>1</v>
      </c>
    </row>
    <row r="9" spans="1:11">
      <c r="A9" s="71" t="s">
        <v>65</v>
      </c>
      <c r="B9" s="72">
        <v>3</v>
      </c>
      <c r="J9" s="73" t="s">
        <v>397</v>
      </c>
      <c r="K9" s="74">
        <v>8</v>
      </c>
    </row>
    <row r="10" spans="1:11">
      <c r="A10" s="73" t="s">
        <v>397</v>
      </c>
      <c r="B10" s="74">
        <v>23</v>
      </c>
    </row>
    <row r="21" spans="8:9" ht="26.4">
      <c r="H21" s="33" t="s">
        <v>405</v>
      </c>
      <c r="I21" s="80">
        <f>AVERAGE('Sécurité des Données'!D2:D9)</f>
        <v>3.25</v>
      </c>
    </row>
  </sheetData>
  <pageMargins left="0.7" right="0.7" top="0.75" bottom="0.75" header="0.3" footer="0.3"/>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164C-C7F9-443F-8CFA-46A3A5797DCE}">
  <dimension ref="A1:K23"/>
  <sheetViews>
    <sheetView showGridLines="0" workbookViewId="0">
      <selection activeCell="I23" sqref="I23"/>
    </sheetView>
  </sheetViews>
  <sheetFormatPr baseColWidth="10" defaultRowHeight="13.2"/>
  <cols>
    <col min="1" max="1" width="13.6640625" bestFit="1" customWidth="1"/>
    <col min="2" max="2" width="9.6640625" bestFit="1" customWidth="1"/>
    <col min="7" max="7" width="10.21875" customWidth="1"/>
    <col min="8" max="8" width="15.21875" customWidth="1"/>
    <col min="9" max="9" width="14.77734375" customWidth="1"/>
    <col min="10" max="10" width="13.6640625" bestFit="1" customWidth="1"/>
    <col min="11" max="11" width="9.88671875" bestFit="1" customWidth="1"/>
  </cols>
  <sheetData>
    <row r="1" spans="1:11" ht="39.6">
      <c r="A1" s="67" t="s">
        <v>396</v>
      </c>
      <c r="B1" s="68" t="s">
        <v>399</v>
      </c>
    </row>
    <row r="2" spans="1:11" ht="26.4">
      <c r="A2" s="69" t="s">
        <v>66</v>
      </c>
      <c r="B2" s="70">
        <v>1</v>
      </c>
      <c r="J2" s="67" t="s">
        <v>396</v>
      </c>
      <c r="K2" s="68" t="s">
        <v>400</v>
      </c>
    </row>
    <row r="3" spans="1:11">
      <c r="A3" s="71" t="s">
        <v>67</v>
      </c>
      <c r="B3" s="72">
        <v>5</v>
      </c>
      <c r="J3" s="69">
        <v>2</v>
      </c>
      <c r="K3" s="70">
        <v>1</v>
      </c>
    </row>
    <row r="4" spans="1:11">
      <c r="A4" s="71" t="s">
        <v>68</v>
      </c>
      <c r="B4" s="72">
        <v>4</v>
      </c>
      <c r="J4" s="71">
        <v>3</v>
      </c>
      <c r="K4" s="72">
        <v>2</v>
      </c>
    </row>
    <row r="5" spans="1:11">
      <c r="A5" s="71" t="s">
        <v>69</v>
      </c>
      <c r="B5" s="72">
        <v>3</v>
      </c>
      <c r="J5" s="71">
        <v>4</v>
      </c>
      <c r="K5" s="72">
        <v>1</v>
      </c>
    </row>
    <row r="6" spans="1:11">
      <c r="A6" s="71" t="s">
        <v>70</v>
      </c>
      <c r="B6" s="72">
        <v>2</v>
      </c>
      <c r="J6" s="71">
        <v>5</v>
      </c>
      <c r="K6" s="72">
        <v>1</v>
      </c>
    </row>
    <row r="7" spans="1:11">
      <c r="A7" s="71" t="s">
        <v>71</v>
      </c>
      <c r="B7" s="72">
        <v>3</v>
      </c>
      <c r="J7" s="71">
        <v>1</v>
      </c>
      <c r="K7" s="72">
        <v>1</v>
      </c>
    </row>
    <row r="8" spans="1:11">
      <c r="A8" s="73" t="s">
        <v>397</v>
      </c>
      <c r="B8" s="74">
        <v>18</v>
      </c>
      <c r="J8" s="73" t="s">
        <v>397</v>
      </c>
      <c r="K8" s="74">
        <v>6</v>
      </c>
    </row>
    <row r="22" spans="8:9" ht="39" customHeight="1">
      <c r="H22" s="80" t="s">
        <v>407</v>
      </c>
      <c r="I22" s="80">
        <f>AVERAGE('Analyse des risques'!D2:D7)</f>
        <v>3</v>
      </c>
    </row>
    <row r="23" spans="8:9" ht="39" customHeight="1"/>
  </sheetData>
  <pageMargins left="0.7" right="0.7" top="0.75" bottom="0.75" header="0.3" footer="0.3"/>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0C07-B06F-4F3C-863A-8E1F51D6FAE9}">
  <dimension ref="A1:L21"/>
  <sheetViews>
    <sheetView showGridLines="0" workbookViewId="0">
      <selection activeCell="I22" sqref="I22"/>
    </sheetView>
  </sheetViews>
  <sheetFormatPr baseColWidth="10" defaultRowHeight="13.2"/>
  <cols>
    <col min="1" max="1" width="13.6640625" bestFit="1" customWidth="1"/>
    <col min="2" max="2" width="9" bestFit="1" customWidth="1"/>
    <col min="11" max="11" width="13.6640625" bestFit="1" customWidth="1"/>
    <col min="12" max="12" width="9.88671875" bestFit="1" customWidth="1"/>
  </cols>
  <sheetData>
    <row r="1" spans="1:12" ht="39.6">
      <c r="A1" s="67" t="s">
        <v>396</v>
      </c>
      <c r="B1" s="68" t="s">
        <v>398</v>
      </c>
    </row>
    <row r="2" spans="1:12" ht="26.4">
      <c r="A2" s="69" t="s">
        <v>79</v>
      </c>
      <c r="B2" s="70">
        <v>3</v>
      </c>
      <c r="K2" s="67" t="s">
        <v>396</v>
      </c>
      <c r="L2" s="68" t="s">
        <v>400</v>
      </c>
    </row>
    <row r="3" spans="1:12">
      <c r="A3" s="71" t="s">
        <v>78</v>
      </c>
      <c r="B3" s="72">
        <v>1</v>
      </c>
      <c r="K3" s="69">
        <v>2</v>
      </c>
      <c r="L3" s="70">
        <v>2</v>
      </c>
    </row>
    <row r="4" spans="1:12">
      <c r="A4" s="71" t="s">
        <v>77</v>
      </c>
      <c r="B4" s="72">
        <v>5</v>
      </c>
      <c r="K4" s="71">
        <v>3</v>
      </c>
      <c r="L4" s="72">
        <v>2</v>
      </c>
    </row>
    <row r="5" spans="1:12">
      <c r="A5" s="71" t="s">
        <v>76</v>
      </c>
      <c r="B5" s="72">
        <v>4</v>
      </c>
      <c r="K5" s="71">
        <v>4</v>
      </c>
      <c r="L5" s="72">
        <v>2</v>
      </c>
    </row>
    <row r="6" spans="1:12">
      <c r="A6" s="71" t="s">
        <v>75</v>
      </c>
      <c r="B6" s="72">
        <v>2</v>
      </c>
      <c r="K6" s="71">
        <v>1</v>
      </c>
      <c r="L6" s="72">
        <v>1</v>
      </c>
    </row>
    <row r="7" spans="1:12">
      <c r="A7" s="71" t="s">
        <v>74</v>
      </c>
      <c r="B7" s="72">
        <v>2</v>
      </c>
      <c r="K7" s="71">
        <v>5</v>
      </c>
      <c r="L7" s="72">
        <v>1</v>
      </c>
    </row>
    <row r="8" spans="1:12">
      <c r="A8" s="71" t="s">
        <v>73</v>
      </c>
      <c r="B8" s="72">
        <v>3</v>
      </c>
      <c r="K8" s="73" t="s">
        <v>397</v>
      </c>
      <c r="L8" s="74">
        <v>8</v>
      </c>
    </row>
    <row r="9" spans="1:12">
      <c r="A9" s="71" t="s">
        <v>72</v>
      </c>
      <c r="B9" s="72">
        <v>4</v>
      </c>
    </row>
    <row r="10" spans="1:12">
      <c r="A10" s="73" t="s">
        <v>397</v>
      </c>
      <c r="B10" s="74">
        <v>5</v>
      </c>
    </row>
    <row r="21" spans="8:9" ht="27" customHeight="1">
      <c r="H21" s="80" t="s">
        <v>174</v>
      </c>
      <c r="I21" s="80">
        <f>AVERAGE(Résilience!D2:D9)</f>
        <v>3</v>
      </c>
    </row>
  </sheetData>
  <pageMargins left="0.7" right="0.7" top="0.75" bottom="0.75" header="0.3" footer="0.3"/>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1A91-240C-440A-855B-776F887707CE}">
  <dimension ref="A1:L20"/>
  <sheetViews>
    <sheetView showGridLines="0" workbookViewId="0">
      <selection activeCell="I21" sqref="I21"/>
    </sheetView>
  </sheetViews>
  <sheetFormatPr baseColWidth="10" defaultRowHeight="13.2"/>
  <cols>
    <col min="1" max="1" width="13.6640625" bestFit="1" customWidth="1"/>
    <col min="2" max="2" width="9" bestFit="1" customWidth="1"/>
    <col min="9" max="9" width="11.5546875" customWidth="1"/>
    <col min="11" max="11" width="13.6640625" bestFit="1" customWidth="1"/>
    <col min="12" max="12" width="9.88671875" bestFit="1" customWidth="1"/>
  </cols>
  <sheetData>
    <row r="1" spans="1:12" ht="39.6">
      <c r="A1" s="67" t="s">
        <v>396</v>
      </c>
      <c r="B1" s="68" t="s">
        <v>398</v>
      </c>
    </row>
    <row r="2" spans="1:12">
      <c r="A2" s="69" t="s">
        <v>93</v>
      </c>
      <c r="B2" s="70">
        <v>5</v>
      </c>
    </row>
    <row r="3" spans="1:12">
      <c r="A3" s="71" t="s">
        <v>92</v>
      </c>
      <c r="B3" s="72">
        <v>2</v>
      </c>
    </row>
    <row r="4" spans="1:12">
      <c r="A4" s="71" t="s">
        <v>91</v>
      </c>
      <c r="B4" s="72">
        <v>3</v>
      </c>
    </row>
    <row r="5" spans="1:12" ht="26.4">
      <c r="A5" s="71" t="s">
        <v>88</v>
      </c>
      <c r="B5" s="72">
        <v>1</v>
      </c>
      <c r="K5" s="67" t="s">
        <v>396</v>
      </c>
      <c r="L5" s="68" t="s">
        <v>400</v>
      </c>
    </row>
    <row r="6" spans="1:12">
      <c r="A6" s="71" t="s">
        <v>89</v>
      </c>
      <c r="B6" s="72">
        <v>4</v>
      </c>
      <c r="K6" s="69">
        <v>1</v>
      </c>
      <c r="L6" s="70">
        <v>2</v>
      </c>
    </row>
    <row r="7" spans="1:12">
      <c r="A7" s="71" t="s">
        <v>90</v>
      </c>
      <c r="B7" s="72">
        <v>1</v>
      </c>
      <c r="K7" s="71">
        <v>2</v>
      </c>
      <c r="L7" s="72">
        <v>1</v>
      </c>
    </row>
    <row r="8" spans="1:12">
      <c r="A8" s="73" t="s">
        <v>397</v>
      </c>
      <c r="B8" s="74">
        <v>5</v>
      </c>
      <c r="K8" s="71">
        <v>3</v>
      </c>
      <c r="L8" s="72">
        <v>1</v>
      </c>
    </row>
    <row r="9" spans="1:12">
      <c r="K9" s="71">
        <v>4</v>
      </c>
      <c r="L9" s="72">
        <v>1</v>
      </c>
    </row>
    <row r="10" spans="1:12">
      <c r="K10" s="71">
        <v>5</v>
      </c>
      <c r="L10" s="72">
        <v>1</v>
      </c>
    </row>
    <row r="11" spans="1:12">
      <c r="K11" s="73" t="s">
        <v>397</v>
      </c>
      <c r="L11" s="74">
        <v>6</v>
      </c>
    </row>
    <row r="20" spans="8:9" ht="29.4" customHeight="1">
      <c r="H20" s="80" t="s">
        <v>408</v>
      </c>
      <c r="I20" s="80">
        <f>AVERAGE(Conformité!D2:D7)</f>
        <v>2.6666666666666665</v>
      </c>
    </row>
  </sheetData>
  <pageMargins left="0.7" right="0.7" top="0.75" bottom="0.75" header="0.3" footer="0.3"/>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4D44D-98AF-47A7-B48B-CD05632A5897}">
  <dimension ref="A1:L20"/>
  <sheetViews>
    <sheetView showGridLines="0" workbookViewId="0">
      <selection activeCell="J21" sqref="J21"/>
    </sheetView>
  </sheetViews>
  <sheetFormatPr baseColWidth="10" defaultRowHeight="13.2"/>
  <cols>
    <col min="1" max="1" width="13.6640625" bestFit="1" customWidth="1"/>
    <col min="2" max="2" width="9" bestFit="1" customWidth="1"/>
    <col min="8" max="8" width="11.88671875" customWidth="1"/>
    <col min="9" max="9" width="18.109375" style="82" customWidth="1"/>
    <col min="11" max="11" width="13.6640625" bestFit="1" customWidth="1"/>
    <col min="12" max="12" width="9.88671875" bestFit="1" customWidth="1"/>
  </cols>
  <sheetData>
    <row r="1" spans="1:12" ht="39.6">
      <c r="A1" s="67" t="s">
        <v>396</v>
      </c>
      <c r="B1" s="68" t="s">
        <v>398</v>
      </c>
    </row>
    <row r="2" spans="1:12" ht="26.4">
      <c r="A2" s="69" t="s">
        <v>81</v>
      </c>
      <c r="B2" s="70">
        <v>1</v>
      </c>
      <c r="K2" s="67" t="s">
        <v>396</v>
      </c>
      <c r="L2" s="68" t="s">
        <v>400</v>
      </c>
    </row>
    <row r="3" spans="1:12">
      <c r="A3" s="71" t="s">
        <v>80</v>
      </c>
      <c r="B3" s="72">
        <v>4</v>
      </c>
      <c r="K3" s="69">
        <v>1</v>
      </c>
      <c r="L3" s="70">
        <v>2</v>
      </c>
    </row>
    <row r="4" spans="1:12">
      <c r="A4" s="71" t="s">
        <v>82</v>
      </c>
      <c r="B4" s="72">
        <v>3</v>
      </c>
      <c r="K4" s="71">
        <v>2</v>
      </c>
      <c r="L4" s="72">
        <v>2</v>
      </c>
    </row>
    <row r="5" spans="1:12">
      <c r="A5" s="71" t="s">
        <v>83</v>
      </c>
      <c r="B5" s="72">
        <v>4</v>
      </c>
      <c r="K5" s="71">
        <v>3</v>
      </c>
      <c r="L5" s="72">
        <v>1</v>
      </c>
    </row>
    <row r="6" spans="1:12">
      <c r="A6" s="71" t="s">
        <v>84</v>
      </c>
      <c r="B6" s="72">
        <v>5</v>
      </c>
      <c r="K6" s="71">
        <v>4</v>
      </c>
      <c r="L6" s="72">
        <v>2</v>
      </c>
    </row>
    <row r="7" spans="1:12">
      <c r="A7" s="71" t="s">
        <v>85</v>
      </c>
      <c r="B7" s="72">
        <v>2</v>
      </c>
      <c r="K7" s="71">
        <v>5</v>
      </c>
      <c r="L7" s="72">
        <v>1</v>
      </c>
    </row>
    <row r="8" spans="1:12">
      <c r="A8" s="71" t="s">
        <v>86</v>
      </c>
      <c r="B8" s="72">
        <v>2</v>
      </c>
      <c r="K8" s="73" t="s">
        <v>397</v>
      </c>
      <c r="L8" s="74">
        <v>8</v>
      </c>
    </row>
    <row r="9" spans="1:12">
      <c r="A9" s="71" t="s">
        <v>87</v>
      </c>
      <c r="B9" s="72">
        <v>1</v>
      </c>
    </row>
    <row r="10" spans="1:12">
      <c r="A10" s="73" t="s">
        <v>397</v>
      </c>
      <c r="B10" s="74">
        <v>5</v>
      </c>
    </row>
    <row r="20" spans="9:10" ht="39.6" customHeight="1">
      <c r="I20" s="83" t="s">
        <v>409</v>
      </c>
      <c r="J20" s="80">
        <f>AVERAGEIF('Gestion des incidents '!D2:D9,"&gt;0")</f>
        <v>2.75</v>
      </c>
    </row>
  </sheetData>
  <pageMargins left="0.7" right="0.7" top="0.75" bottom="0.75" header="0.3" footer="0.3"/>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AF96-FAAE-4899-985E-DC927393CF60}">
  <dimension ref="A1"/>
  <sheetViews>
    <sheetView workbookViewId="0"/>
  </sheetViews>
  <sheetFormatPr baseColWidth="10" defaultColWidth="8.77734375" defaultRowHeight="13.2"/>
  <sheetData/>
  <customSheetViews>
    <customSheetView guid="{F7C1623B-D7CD-CD4F-BF5C-C85D3815E60B}" state="hidden">
      <pageMargins left="0.7" right="0.7" top="0.75" bottom="0.75" header="0.3" footer="0.3"/>
    </customSheetView>
    <customSheetView guid="{CB9281FB-53AC-4498-B6BF-6132B55113AF}">
      <pageMargins left="0.7" right="0.7" top="0.75" bottom="0.75" header="0.3" footer="0.3"/>
    </customSheetView>
    <customSheetView guid="{2C165A54-03F4-4551-85C8-E4ED1E664B78}" state="hidden">
      <pageMargins left="0.7" right="0.7" top="0.75" bottom="0.75" header="0.3" footer="0.3"/>
    </customSheetView>
  </customSheetView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D394-0412-4D38-8633-9E543B57F39D}">
  <dimension ref="A1:M22"/>
  <sheetViews>
    <sheetView showGridLines="0" workbookViewId="0">
      <selection activeCell="J22" sqref="J22"/>
    </sheetView>
  </sheetViews>
  <sheetFormatPr baseColWidth="10" defaultRowHeight="13.2"/>
  <cols>
    <col min="1" max="1" width="13.6640625" bestFit="1" customWidth="1"/>
    <col min="2" max="2" width="9" bestFit="1" customWidth="1"/>
    <col min="9" max="9" width="14.21875" customWidth="1"/>
    <col min="12" max="12" width="13.6640625" bestFit="1" customWidth="1"/>
    <col min="13" max="13" width="9.88671875" bestFit="1" customWidth="1"/>
  </cols>
  <sheetData>
    <row r="1" spans="1:13" ht="39.6">
      <c r="A1" s="67" t="s">
        <v>396</v>
      </c>
      <c r="B1" s="68" t="s">
        <v>398</v>
      </c>
    </row>
    <row r="2" spans="1:13">
      <c r="A2" s="69" t="s">
        <v>50</v>
      </c>
      <c r="B2" s="70">
        <v>2</v>
      </c>
    </row>
    <row r="3" spans="1:13">
      <c r="A3" s="71" t="s">
        <v>51</v>
      </c>
      <c r="B3" s="72">
        <v>1</v>
      </c>
    </row>
    <row r="4" spans="1:13">
      <c r="A4" s="71" t="s">
        <v>52</v>
      </c>
      <c r="B4" s="72">
        <v>4</v>
      </c>
    </row>
    <row r="5" spans="1:13">
      <c r="A5" s="71" t="s">
        <v>53</v>
      </c>
      <c r="B5" s="72">
        <v>4</v>
      </c>
    </row>
    <row r="6" spans="1:13" ht="26.4">
      <c r="A6" s="71" t="s">
        <v>97</v>
      </c>
      <c r="B6" s="72">
        <v>5</v>
      </c>
      <c r="L6" s="67" t="s">
        <v>396</v>
      </c>
      <c r="M6" s="68" t="s">
        <v>400</v>
      </c>
    </row>
    <row r="7" spans="1:13">
      <c r="A7" s="71" t="s">
        <v>54</v>
      </c>
      <c r="B7" s="72">
        <v>4</v>
      </c>
      <c r="L7" s="69">
        <v>1</v>
      </c>
      <c r="M7" s="70">
        <v>1</v>
      </c>
    </row>
    <row r="8" spans="1:13">
      <c r="A8" s="71" t="s">
        <v>55</v>
      </c>
      <c r="B8" s="72">
        <v>4</v>
      </c>
      <c r="L8" s="71">
        <v>2</v>
      </c>
      <c r="M8" s="72">
        <v>1</v>
      </c>
    </row>
    <row r="9" spans="1:13">
      <c r="A9" s="71" t="s">
        <v>56</v>
      </c>
      <c r="B9" s="72">
        <v>3</v>
      </c>
      <c r="L9" s="71">
        <v>3</v>
      </c>
      <c r="M9" s="72">
        <v>2</v>
      </c>
    </row>
    <row r="10" spans="1:13">
      <c r="A10" s="71" t="s">
        <v>57</v>
      </c>
      <c r="B10" s="72">
        <v>3</v>
      </c>
      <c r="L10" s="71">
        <v>4</v>
      </c>
      <c r="M10" s="72">
        <v>5</v>
      </c>
    </row>
    <row r="11" spans="1:13">
      <c r="A11" s="71" t="s">
        <v>94</v>
      </c>
      <c r="B11" s="72">
        <v>4</v>
      </c>
      <c r="L11" s="71">
        <v>5</v>
      </c>
      <c r="M11" s="72">
        <v>1</v>
      </c>
    </row>
    <row r="12" spans="1:13">
      <c r="A12" s="73" t="s">
        <v>397</v>
      </c>
      <c r="B12" s="74">
        <v>5</v>
      </c>
      <c r="L12" s="73" t="s">
        <v>397</v>
      </c>
      <c r="M12" s="74">
        <v>10</v>
      </c>
    </row>
    <row r="21" spans="9:10" ht="40.799999999999997" customHeight="1">
      <c r="I21" s="80" t="s">
        <v>406</v>
      </c>
      <c r="J21" s="80">
        <f>AVERAGE('Sécurité Applicative'!D2:D11)</f>
        <v>3.4</v>
      </c>
    </row>
    <row r="22" spans="9:10" ht="40.799999999999997" customHeight="1"/>
  </sheetData>
  <pageMargins left="0.7" right="0.7" top="0.75" bottom="0.75" header="0.3" footer="0.3"/>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269-7A33-4530-9D19-01A7977E8795}">
  <dimension ref="A1:B12"/>
  <sheetViews>
    <sheetView showGridLines="0" workbookViewId="0">
      <selection activeCell="O9" sqref="O9"/>
    </sheetView>
  </sheetViews>
  <sheetFormatPr baseColWidth="10" defaultRowHeight="13.2"/>
  <cols>
    <col min="1" max="1" width="22.6640625" customWidth="1"/>
    <col min="2" max="2" width="29.77734375" customWidth="1"/>
  </cols>
  <sheetData>
    <row r="1" spans="1:2">
      <c r="A1" s="33" t="s">
        <v>110</v>
      </c>
      <c r="B1" s="33">
        <f>AVERAGE(Gouvernance!D2:D10)</f>
        <v>3.5555555555555554</v>
      </c>
    </row>
    <row r="2" spans="1:2">
      <c r="A2" s="33" t="s">
        <v>410</v>
      </c>
      <c r="B2" s="33">
        <f>AVERAGE('Gestion organisationnelle'!D2:D10)</f>
        <v>3.2857142857142856</v>
      </c>
    </row>
    <row r="3" spans="1:2">
      <c r="A3" s="33" t="s">
        <v>1</v>
      </c>
      <c r="B3" s="33">
        <f>AVERAGE(IAM!D2:D10)</f>
        <v>3.1428571428571428</v>
      </c>
    </row>
    <row r="4" spans="1:2">
      <c r="A4" s="33" t="s">
        <v>148</v>
      </c>
      <c r="B4" s="33">
        <f>AVERAGE('Supervision de la sécurité'!D2:D10)</f>
        <v>3.1428571428571428</v>
      </c>
    </row>
    <row r="5" spans="1:2">
      <c r="A5" s="33" t="s">
        <v>404</v>
      </c>
      <c r="B5" s="33">
        <f>AVERAGE('Sécurité réseau'!D2:D10)</f>
        <v>2.8333333333333335</v>
      </c>
    </row>
    <row r="6" spans="1:2" ht="26.4">
      <c r="A6" s="33" t="s">
        <v>150</v>
      </c>
      <c r="B6" s="33">
        <f>AVERAGE('Sécurité des charges de travail'!D2:D12)</f>
        <v>2.6363636363636362</v>
      </c>
    </row>
    <row r="7" spans="1:2">
      <c r="A7" s="33" t="s">
        <v>411</v>
      </c>
      <c r="B7" s="33">
        <f>AVERAGE('Sécurité des Données'!D2:D9)</f>
        <v>3.25</v>
      </c>
    </row>
    <row r="8" spans="1:2">
      <c r="A8" s="33" t="s">
        <v>406</v>
      </c>
      <c r="B8" s="33">
        <f>AVERAGE('Sécurité Applicative'!D2:D11)</f>
        <v>3.4</v>
      </c>
    </row>
    <row r="9" spans="1:2">
      <c r="A9" s="33" t="s">
        <v>412</v>
      </c>
      <c r="B9" s="33">
        <f>AVERAGE('Analyse des risques'!D2:D7)</f>
        <v>3</v>
      </c>
    </row>
    <row r="10" spans="1:2">
      <c r="A10" s="33" t="s">
        <v>413</v>
      </c>
      <c r="B10" s="33">
        <f>AVERAGE(Résilience!D2:D9)</f>
        <v>3</v>
      </c>
    </row>
    <row r="11" spans="1:2">
      <c r="A11" s="33" t="s">
        <v>408</v>
      </c>
      <c r="B11" s="33">
        <f>AVERAGE(Conformité!D2:D7)</f>
        <v>2.6666666666666665</v>
      </c>
    </row>
    <row r="12" spans="1:2">
      <c r="A12" s="33" t="s">
        <v>414</v>
      </c>
      <c r="B12" s="33">
        <f>AVERAGEIF('Gestion des incidents '!D2:D9,"&gt;0")</f>
        <v>2.75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e713378-dd0c-4046-b582-a046f7a1713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FB610D449EE024CAB48D2503C354C9C" ma:contentTypeVersion="13" ma:contentTypeDescription="Crée un document." ma:contentTypeScope="" ma:versionID="d9024ded2988d837db6c8b43d0635600">
  <xsd:schema xmlns:xsd="http://www.w3.org/2001/XMLSchema" xmlns:xs="http://www.w3.org/2001/XMLSchema" xmlns:p="http://schemas.microsoft.com/office/2006/metadata/properties" xmlns:ns3="38a58bcc-6aad-44e2-b50d-a2e64ad961fa" xmlns:ns4="8e713378-dd0c-4046-b582-a046f7a17133" targetNamespace="http://schemas.microsoft.com/office/2006/metadata/properties" ma:root="true" ma:fieldsID="98188e4c497c993decf17b86f996a76b" ns3:_="" ns4:_="">
    <xsd:import namespace="38a58bcc-6aad-44e2-b50d-a2e64ad961fa"/>
    <xsd:import namespace="8e713378-dd0c-4046-b582-a046f7a1713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element ref="ns4:MediaServiceDateTaken"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58bcc-6aad-44e2-b50d-a2e64ad961fa"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SharingHintHash" ma:index="10" nillable="true" ma:displayName="Partage du hachage d’indicateu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713378-dd0c-4046-b582-a046f7a171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305DD9-7464-49F5-A21E-A427DE330ACD}">
  <ds:schemaRefs>
    <ds:schemaRef ds:uri="38a58bcc-6aad-44e2-b50d-a2e64ad961fa"/>
    <ds:schemaRef ds:uri="http://schemas.openxmlformats.org/package/2006/metadata/core-properties"/>
    <ds:schemaRef ds:uri="http://schemas.microsoft.com/office/2006/documentManagement/types"/>
    <ds:schemaRef ds:uri="http://purl.org/dc/elements/1.1/"/>
    <ds:schemaRef ds:uri="http://www.w3.org/XML/1998/namespace"/>
    <ds:schemaRef ds:uri="http://schemas.microsoft.com/office/2006/metadata/properties"/>
    <ds:schemaRef ds:uri="http://purl.org/dc/terms/"/>
    <ds:schemaRef ds:uri="http://purl.org/dc/dcmitype/"/>
    <ds:schemaRef ds:uri="http://schemas.microsoft.com/office/infopath/2007/PartnerControls"/>
    <ds:schemaRef ds:uri="8e713378-dd0c-4046-b582-a046f7a17133"/>
  </ds:schemaRefs>
</ds:datastoreItem>
</file>

<file path=customXml/itemProps2.xml><?xml version="1.0" encoding="utf-8"?>
<ds:datastoreItem xmlns:ds="http://schemas.openxmlformats.org/officeDocument/2006/customXml" ds:itemID="{004A9C69-8DDE-4751-8320-FDAC6A170C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a58bcc-6aad-44e2-b50d-a2e64ad961fa"/>
    <ds:schemaRef ds:uri="8e713378-dd0c-4046-b582-a046f7a171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2BB711-6678-4C51-86A1-B2A19A4A53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29</vt:i4>
      </vt:variant>
    </vt:vector>
  </HeadingPairs>
  <TitlesOfParts>
    <vt:vector size="29" baseType="lpstr">
      <vt:lpstr>Domaines</vt:lpstr>
      <vt:lpstr>Echelles</vt:lpstr>
      <vt:lpstr>Feuil1</vt:lpstr>
      <vt:lpstr>Gouvernance</vt:lpstr>
      <vt:lpstr>Gestion organisationnelle</vt:lpstr>
      <vt:lpstr>IAM</vt:lpstr>
      <vt:lpstr>Supervision de la sécurité</vt:lpstr>
      <vt:lpstr>Sécurité des charges de travail</vt:lpstr>
      <vt:lpstr>Sécurité réseau</vt:lpstr>
      <vt:lpstr>Sécurité des Données</vt:lpstr>
      <vt:lpstr>Analyse des risques</vt:lpstr>
      <vt:lpstr>Résilience</vt:lpstr>
      <vt:lpstr>Conformité</vt:lpstr>
      <vt:lpstr>Gestion des incidents </vt:lpstr>
      <vt:lpstr>Sécurité Applicative</vt:lpstr>
      <vt:lpstr>Dashboard_Sécurité réseau</vt:lpstr>
      <vt:lpstr>Dashboard_SCT</vt:lpstr>
      <vt:lpstr>Dashboard_Gouvernance</vt:lpstr>
      <vt:lpstr>Dashboard_Gestion organisationn</vt:lpstr>
      <vt:lpstr>Dashboard_IAM</vt:lpstr>
      <vt:lpstr>Dashboard_supervisionSec</vt:lpstr>
      <vt:lpstr>Dashboard_sécuritéDonnées</vt:lpstr>
      <vt:lpstr>Dashboard_AR</vt:lpstr>
      <vt:lpstr>Dashboard_Resilience</vt:lpstr>
      <vt:lpstr>Dashboard_conformité</vt:lpstr>
      <vt:lpstr>Dashboard_GIS</vt:lpstr>
      <vt:lpstr>Sheet1</vt:lpstr>
      <vt:lpstr>Dashboard_secuApp</vt:lpstr>
      <vt:lpstr>evaluation_globale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gglendening</dc:creator>
  <cp:keywords/>
  <dc:description/>
  <cp:lastModifiedBy>AMSAF Rim</cp:lastModifiedBy>
  <cp:revision/>
  <dcterms:created xsi:type="dcterms:W3CDTF">2019-04-23T01:04:09Z</dcterms:created>
  <dcterms:modified xsi:type="dcterms:W3CDTF">2026-03-18T20:47:45Z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0x0101001FB610D449EE024CAB48D2503C354C9C</vt:lpwstr>
  </property>
</Properties>
</file>